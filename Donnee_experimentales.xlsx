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0955a975e110bf/Bureau/ELEC-309/"/>
    </mc:Choice>
  </mc:AlternateContent>
  <xr:revisionPtr revIDLastSave="0" documentId="8_{F4F1D7C3-482E-4077-8EFE-B0626E9EC824}" xr6:coauthVersionLast="47" xr6:coauthVersionMax="47" xr10:uidLastSave="{00000000-0000-0000-0000-000000000000}"/>
  <bookViews>
    <workbookView xWindow="-108" yWindow="-108" windowWidth="23256" windowHeight="12456" tabRatio="736" activeTab="4" xr2:uid="{718EE66D-2F38-43E4-AAEF-D85736E97B5E}"/>
  </bookViews>
  <sheets>
    <sheet name="Roue 1" sheetId="1" r:id="rId1"/>
    <sheet name="Roue 2 ancien" sheetId="2" r:id="rId2"/>
    <sheet name="Roue 2 pas ds deux sens" sheetId="6" r:id="rId3"/>
    <sheet name="rotation" sheetId="9" r:id="rId4"/>
    <sheet name="Données retro variante" sheetId="7" r:id="rId5"/>
    <sheet name="Donnée retro V4" sheetId="3" r:id="rId6"/>
    <sheet name="Donnée retro V5" sheetId="5" r:id="rId7"/>
    <sheet name="Donnée retro V9" sheetId="8" r:id="rId8"/>
    <sheet name="Donnée retro V10V11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1" l="1"/>
  <c r="D2" i="6"/>
  <c r="E2" i="6" s="1"/>
  <c r="D3" i="6"/>
  <c r="E3" i="6" s="1"/>
  <c r="D4" i="6"/>
  <c r="E4" i="6" s="1"/>
  <c r="D5" i="6"/>
  <c r="E5" i="6" s="1"/>
  <c r="D6" i="6"/>
  <c r="E6" i="6"/>
  <c r="D7" i="6"/>
  <c r="E7" i="6"/>
  <c r="D8" i="6"/>
  <c r="E8" i="6"/>
  <c r="D9" i="6"/>
  <c r="E9" i="6"/>
  <c r="D10" i="6"/>
  <c r="E10" i="6"/>
  <c r="D11" i="6"/>
  <c r="E11" i="6" s="1"/>
  <c r="E4" i="2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D3" i="2"/>
  <c r="E3" i="2" s="1"/>
  <c r="D2" i="2"/>
  <c r="E2" i="2" s="1"/>
  <c r="E3" i="1"/>
  <c r="D3" i="1"/>
  <c r="D2" i="1"/>
  <c r="E2" i="1" s="1"/>
  <c r="D7" i="1"/>
  <c r="E7" i="1" s="1"/>
  <c r="D8" i="1"/>
  <c r="E8" i="1" s="1"/>
  <c r="D9" i="1"/>
  <c r="E9" i="1" s="1"/>
  <c r="D10" i="1"/>
  <c r="E10" i="1" s="1"/>
  <c r="D11" i="1"/>
  <c r="E11" i="1" s="1"/>
  <c r="D4" i="1"/>
  <c r="E4" i="1" s="1"/>
  <c r="D5" i="1"/>
  <c r="E5" i="1" s="1"/>
  <c r="D6" i="1"/>
  <c r="E6" i="1" s="1"/>
</calcChain>
</file>

<file path=xl/sharedStrings.xml><?xml version="1.0" encoding="utf-8"?>
<sst xmlns="http://schemas.openxmlformats.org/spreadsheetml/2006/main" count="398" uniqueCount="186">
  <si>
    <t>Pourecntage de la PWM</t>
  </si>
  <si>
    <t>LSB</t>
  </si>
  <si>
    <t>MSB</t>
  </si>
  <si>
    <t>TOT</t>
  </si>
  <si>
    <t>tour/s</t>
  </si>
  <si>
    <t>Fait pour delta t = 0,2</t>
  </si>
  <si>
    <t>40% et 50% match pour mesure manuelle</t>
  </si>
  <si>
    <t>non</t>
  </si>
  <si>
    <t>oui</t>
  </si>
  <si>
    <t>coef d'acc</t>
  </si>
  <si>
    <t>OC1RS initial</t>
  </si>
  <si>
    <t>OC2RS initial</t>
  </si>
  <si>
    <t>timer</t>
  </si>
  <si>
    <t>MAX</t>
  </si>
  <si>
    <t>MIN</t>
  </si>
  <si>
    <t>Fonctionne</t>
  </si>
  <si>
    <t xml:space="preserve">Remarques </t>
  </si>
  <si>
    <t xml:space="preserve">Pour tout les test temps de vide pour lancer la roue 2, problème récurent : quand lancer la voiture </t>
  </si>
  <si>
    <t>general</t>
  </si>
  <si>
    <t>bof</t>
  </si>
  <si>
    <t>petit zigzag</t>
  </si>
  <si>
    <t>Ajout d'une led, pose quand bon</t>
  </si>
  <si>
    <t>difficile de juger car on ne peut le poser que quand il a déjà une droite (à cause du moteur à actionner à la main)</t>
  </si>
  <si>
    <t>pas bien</t>
  </si>
  <si>
    <t>Varie entre 2 valeurs extrème pas d'equilibre qui se forme</t>
  </si>
  <si>
    <t>Tourne très fort</t>
  </si>
  <si>
    <t>bien</t>
  </si>
  <si>
    <t>lent mais plutôt stable</t>
  </si>
  <si>
    <t>roue droite ne peut pas aller asser lentement</t>
  </si>
  <si>
    <t>plus rapide mais n'arrive pas à aller asser lentement</t>
  </si>
  <si>
    <t>Trop lent sur la deuxième roue =&gt; grand arc de cercle</t>
  </si>
  <si>
    <t>le mieux ?</t>
  </si>
  <si>
    <t>varie trop vite sur valeur extrème</t>
  </si>
  <si>
    <t>correction trop lente</t>
  </si>
  <si>
    <t>bien mais variation rapide</t>
  </si>
  <si>
    <t>Le mieux ?</t>
  </si>
  <si>
    <t>distance (cm)</t>
  </si>
  <si>
    <t>déviation(cm)</t>
  </si>
  <si>
    <t>tourne fort</t>
  </si>
  <si>
    <t>super</t>
  </si>
  <si>
    <t>tourne presque pas</t>
  </si>
  <si>
    <t>correction plus apparente sur debut de course</t>
  </si>
  <si>
    <t>&lt;1</t>
  </si>
  <si>
    <t>probleme au demarage</t>
  </si>
  <si>
    <t>fin de course bizarre (une roue décelere plus vite)</t>
  </si>
  <si>
    <t>coef d'acc 1</t>
  </si>
  <si>
    <t>coef d'acc 2</t>
  </si>
  <si>
    <t xml:space="preserve">Redeffinition du coef acc nouveau = OC1RS*ancien </t>
  </si>
  <si>
    <t>tournant visible</t>
  </si>
  <si>
    <t>tournant apparent sur la fin</t>
  </si>
  <si>
    <t>se voit au debut puis plus</t>
  </si>
  <si>
    <t>probleme frein et démarrage</t>
  </si>
  <si>
    <t>beucoup de petits ajustments</t>
  </si>
  <si>
    <t xml:space="preserve">si v demarrage pas bien suite mauvaise </t>
  </si>
  <si>
    <t>roue 1 légerement plus rapide</t>
  </si>
  <si>
    <t>Super</t>
  </si>
  <si>
    <t>fait 2 fois</t>
  </si>
  <si>
    <t>CONCLUSION la droite d'approximation est bien mais ca c'est mieux</t>
  </si>
  <si>
    <t>vitesse a 0,6 : 0,25m/s</t>
  </si>
  <si>
    <t>Très mauvait démarage</t>
  </si>
  <si>
    <t>Test avec nb max de pos</t>
  </si>
  <si>
    <t>déviation y</t>
  </si>
  <si>
    <t>déviation x</t>
  </si>
  <si>
    <t>L'arret brutal crée de fortes erreur</t>
  </si>
  <si>
    <t>Attention ces test ne mesure que la déviation sur x pas y. De plus la voiture n'est pas arrétée pour faire la mesure</t>
  </si>
  <si>
    <t>&lt;2,4</t>
  </si>
  <si>
    <t>&lt;2</t>
  </si>
  <si>
    <t>&lt;4</t>
  </si>
  <si>
    <t>Fait pour delta t = 0,2 s</t>
  </si>
  <si>
    <t xml:space="preserve">Nouvelle methode avec réference fixe </t>
  </si>
  <si>
    <t>Variation légerement variable</t>
  </si>
  <si>
    <t>Arret brutal à dévié en x a la fin</t>
  </si>
  <si>
    <t>2 fois</t>
  </si>
  <si>
    <t>2fois</t>
  </si>
  <si>
    <t>3fois</t>
  </si>
  <si>
    <t>Mal orienté</t>
  </si>
  <si>
    <t>a chaque fois vers droite (roue 1 trop rapide)</t>
  </si>
  <si>
    <t>4fois et 1 neg 3 pos</t>
  </si>
  <si>
    <t>Le mieux</t>
  </si>
  <si>
    <t>no</t>
  </si>
  <si>
    <t>deviation a gauche</t>
  </si>
  <si>
    <t>(x-y)</t>
  </si>
  <si>
    <t>12-4,8</t>
  </si>
  <si>
    <t>deviation a gauche malgré de forte oscillation</t>
  </si>
  <si>
    <t>24-4,8</t>
  </si>
  <si>
    <t>Nouvelle metthode avec correction via evolution de l'erreur</t>
  </si>
  <si>
    <t>coef err</t>
  </si>
  <si>
    <t>coef diff err</t>
  </si>
  <si>
    <t>beaucoup trop grandes oscillation</t>
  </si>
  <si>
    <t>ne demare pas droit</t>
  </si>
  <si>
    <t>ne demarre pas droit puis ne tient pas la route</t>
  </si>
  <si>
    <t>x</t>
  </si>
  <si>
    <t>2,4-8</t>
  </si>
  <si>
    <t>12-8,0</t>
  </si>
  <si>
    <t>12-8,8</t>
  </si>
  <si>
    <t>4,8-8,0</t>
  </si>
  <si>
    <t>4,8-8</t>
  </si>
  <si>
    <t>onon</t>
  </si>
  <si>
    <t>0 - ~3</t>
  </si>
  <si>
    <t>0 - 2,5</t>
  </si>
  <si>
    <t>0 - 2,8</t>
  </si>
  <si>
    <t>pas de timer entre les corrections</t>
  </si>
  <si>
    <t>distance diff pour correction</t>
  </si>
  <si>
    <t>0 - 0</t>
  </si>
  <si>
    <t>1 - 0</t>
  </si>
  <si>
    <t>120+120*3/120</t>
  </si>
  <si>
    <t>240 + 240*3/120</t>
  </si>
  <si>
    <t>2-1,5</t>
  </si>
  <si>
    <t>2,5-1,5</t>
  </si>
  <si>
    <t>deviation toujours dans le même sens</t>
  </si>
  <si>
    <t>passage a une correction supplémentaire</t>
  </si>
  <si>
    <t>240 + 240 *4/120</t>
  </si>
  <si>
    <t>2-0</t>
  </si>
  <si>
    <t>4,5- -1</t>
  </si>
  <si>
    <t>120 + 120 *4/120</t>
  </si>
  <si>
    <t>0-0</t>
  </si>
  <si>
    <t>1-0</t>
  </si>
  <si>
    <t>0- -1</t>
  </si>
  <si>
    <t>Ajout d'un timer</t>
  </si>
  <si>
    <t xml:space="preserve">coef d'acc </t>
  </si>
  <si>
    <t>1 --1</t>
  </si>
  <si>
    <t>si neg dans sens inabituel</t>
  </si>
  <si>
    <t>0 - -1</t>
  </si>
  <si>
    <t>04-/1</t>
  </si>
  <si>
    <t>1 - -1</t>
  </si>
  <si>
    <t>devie enormément et s'emballe</t>
  </si>
  <si>
    <t>date : 18-03</t>
  </si>
  <si>
    <t>3,5-0</t>
  </si>
  <si>
    <t>0 - 1</t>
  </si>
  <si>
    <t>Roue avec les mauvaise pos</t>
  </si>
  <si>
    <t>01-1/</t>
  </si>
  <si>
    <t>ajout d'un / pour enlever le formatage de date</t>
  </si>
  <si>
    <t>coef de dist</t>
  </si>
  <si>
    <t>resultat</t>
  </si>
  <si>
    <t>+-5°</t>
  </si>
  <si>
    <t>degré</t>
  </si>
  <si>
    <t>cm</t>
  </si>
  <si>
    <t>diminution du coefficient de correction</t>
  </si>
  <si>
    <t>coef corr</t>
  </si>
  <si>
    <t>ajout de condition d'arret indépendante par roue</t>
  </si>
  <si>
    <t>4,8-1</t>
  </si>
  <si>
    <t>Avec intégration</t>
  </si>
  <si>
    <t>coef int</t>
  </si>
  <si>
    <t>1,3*200</t>
  </si>
  <si>
    <t>4-?</t>
  </si>
  <si>
    <t>02-/1</t>
  </si>
  <si>
    <t>pas d'acc</t>
  </si>
  <si>
    <t>1,7*200</t>
  </si>
  <si>
    <t>8-?</t>
  </si>
  <si>
    <t>0-1</t>
  </si>
  <si>
    <t>2,4-0</t>
  </si>
  <si>
    <t>2,4 - 2,4</t>
  </si>
  <si>
    <t>5-0</t>
  </si>
  <si>
    <t>changé partie intégrale</t>
  </si>
  <si>
    <t>2,4-1</t>
  </si>
  <si>
    <t>01-/01</t>
  </si>
  <si>
    <t>05-/01</t>
  </si>
  <si>
    <t>10- 1,</t>
  </si>
  <si>
    <t xml:space="preserve">coef int </t>
  </si>
  <si>
    <t>coef corr * 200</t>
  </si>
  <si>
    <t>pas continué</t>
  </si>
  <si>
    <t>sature des deux coté sans doute une accumulation d'erreur qui se corrigent d'un coup mais trop tard ?</t>
  </si>
  <si>
    <t>Commence mal et on peut voir quand la partie intégrale corige et fait repartir en ligne droite</t>
  </si>
  <si>
    <t>(-7,2;1)</t>
  </si>
  <si>
    <t>(-4,8 ;1)</t>
  </si>
  <si>
    <t>erreur surtout sur la deuxieme partie du trajet</t>
  </si>
  <si>
    <t>2,4 - 1</t>
  </si>
  <si>
    <t>enelve terme integr apres tier trajet</t>
  </si>
  <si>
    <t xml:space="preserve">2/5 trajet </t>
  </si>
  <si>
    <t>3/4 trajet</t>
  </si>
  <si>
    <t xml:space="preserve">2,4-1 </t>
  </si>
  <si>
    <t>1/2 tajet</t>
  </si>
  <si>
    <t>(-1;-1)</t>
  </si>
  <si>
    <t>08;-02</t>
  </si>
  <si>
    <t>avec acc</t>
  </si>
  <si>
    <t>1/3 trajet</t>
  </si>
  <si>
    <t>7,2-1</t>
  </si>
  <si>
    <t>integr trop fort au debut</t>
  </si>
  <si>
    <t>(- 4,8-1</t>
  </si>
  <si>
    <t>(-4,8 - 1</t>
  </si>
  <si>
    <t>code V10</t>
  </si>
  <si>
    <t>Code V11</t>
  </si>
  <si>
    <t>Test fait avec voiture avec erreur recurente meme avec code d'un autre groupe</t>
  </si>
  <si>
    <t>Utilisation de la troisieme roue 2 (celle a vitesse variable)</t>
  </si>
  <si>
    <t>Fait avec roue 2 ancien</t>
  </si>
  <si>
    <t>Fait avec le moteur qui ne démare pas seul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</si>
</sst>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2" borderId="0" xfId="0" applyFill="1"/>
    <xf numFmtId="16" fontId="0" fillId="0" borderId="0" xfId="0" applyNumberFormat="1"/>
    <xf numFmtId="16" fontId="0" fillId="2" borderId="0" xfId="0" applyNumberFormat="1" applyFill="1"/>
    <xf numFmtId="16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'Roue 1'!$E$2:$E$11</c:f>
              <c:numCache>
                <c:formatCode>General</c:formatCode>
                <c:ptCount val="10"/>
                <c:pt idx="0">
                  <c:v>7.4760765550239236E-2</c:v>
                </c:pt>
                <c:pt idx="1">
                  <c:v>0.27412280701754388</c:v>
                </c:pt>
                <c:pt idx="2">
                  <c:v>0.44856459330143544</c:v>
                </c:pt>
                <c:pt idx="3">
                  <c:v>0.68779904306220097</c:v>
                </c:pt>
                <c:pt idx="4">
                  <c:v>0.88716108452950559</c:v>
                </c:pt>
                <c:pt idx="5">
                  <c:v>1.1239035087719298</c:v>
                </c:pt>
                <c:pt idx="6">
                  <c:v>1.350677830940989</c:v>
                </c:pt>
                <c:pt idx="7">
                  <c:v>1.5874202551834131</c:v>
                </c:pt>
                <c:pt idx="8">
                  <c:v>1.7992424242424243</c:v>
                </c:pt>
                <c:pt idx="9">
                  <c:v>2.0534290271132378</c:v>
                </c:pt>
              </c:numCache>
            </c:numRef>
          </c:xVal>
          <c:yVal>
            <c:numRef>
              <c:f>'Roue 1'!$F$2:$F$11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E4-4300-9AB8-4E6136B73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2560"/>
        <c:axId val="80915440"/>
      </c:scatterChart>
      <c:valAx>
        <c:axId val="8091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15440"/>
        <c:crosses val="autoZero"/>
        <c:crossBetween val="midCat"/>
      </c:valAx>
      <c:valAx>
        <c:axId val="8091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1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'Roue 2 ancien'!$E$2:$E$11</c:f>
              <c:numCache>
                <c:formatCode>General</c:formatCode>
                <c:ptCount val="10"/>
                <c:pt idx="0">
                  <c:v>6.2300637958532697E-2</c:v>
                </c:pt>
                <c:pt idx="1">
                  <c:v>0.2442185007974482</c:v>
                </c:pt>
                <c:pt idx="2">
                  <c:v>0.461024720893142</c:v>
                </c:pt>
                <c:pt idx="3">
                  <c:v>0.69527511961722488</c:v>
                </c:pt>
                <c:pt idx="4">
                  <c:v>0.91208133971291872</c:v>
                </c:pt>
                <c:pt idx="5">
                  <c:v>1.1239035087719298</c:v>
                </c:pt>
                <c:pt idx="6">
                  <c:v>1.3257575757575759</c:v>
                </c:pt>
                <c:pt idx="7">
                  <c:v>1.5251196172248804</c:v>
                </c:pt>
                <c:pt idx="8">
                  <c:v>1.7244816586921852</c:v>
                </c:pt>
                <c:pt idx="9">
                  <c:v>1.8989234449760768</c:v>
                </c:pt>
              </c:numCache>
            </c:numRef>
          </c:xVal>
          <c:yVal>
            <c:numRef>
              <c:f>'Roue 2 ancien'!$F$2:$F$11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1E-476F-AEBF-A7BAF317C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75600"/>
        <c:axId val="134378960"/>
      </c:scatterChart>
      <c:valAx>
        <c:axId val="13437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78960"/>
        <c:crosses val="autoZero"/>
        <c:crossBetween val="midCat"/>
      </c:valAx>
      <c:valAx>
        <c:axId val="1343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3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'Roue 2 pas ds deux sens'!$E$2:$E$10</c:f>
              <c:numCache>
                <c:formatCode>General</c:formatCode>
                <c:ptCount val="9"/>
                <c:pt idx="0">
                  <c:v>0</c:v>
                </c:pt>
                <c:pt idx="1">
                  <c:v>0.24172647527910687</c:v>
                </c:pt>
                <c:pt idx="2">
                  <c:v>0.44856459330143544</c:v>
                </c:pt>
                <c:pt idx="3">
                  <c:v>0.63795853269537484</c:v>
                </c:pt>
                <c:pt idx="4">
                  <c:v>0.86224082934609259</c:v>
                </c:pt>
                <c:pt idx="5">
                  <c:v>1.0740629984051038</c:v>
                </c:pt>
                <c:pt idx="6">
                  <c:v>1.3132974481658692</c:v>
                </c:pt>
                <c:pt idx="7">
                  <c:v>1.5251196172248804</c:v>
                </c:pt>
                <c:pt idx="8">
                  <c:v>1.7244816586921852</c:v>
                </c:pt>
              </c:numCache>
            </c:numRef>
          </c:xVal>
          <c:yVal>
            <c:numRef>
              <c:f>'Roue 2 pas ds deux sens'!$F$2:$F$10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3-4E7F-9294-557CD15B1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837088"/>
        <c:axId val="151837568"/>
      </c:scatterChart>
      <c:valAx>
        <c:axId val="15183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837568"/>
        <c:crosses val="autoZero"/>
        <c:crossBetween val="midCat"/>
      </c:valAx>
      <c:valAx>
        <c:axId val="15183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183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6</xdr:row>
      <xdr:rowOff>135255</xdr:rowOff>
    </xdr:from>
    <xdr:to>
      <xdr:col>14</xdr:col>
      <xdr:colOff>45720</xdr:colOff>
      <xdr:row>25</xdr:row>
      <xdr:rowOff>78105</xdr:rowOff>
    </xdr:to>
    <xdr:graphicFrame macro="">
      <xdr:nvGraphicFramePr>
        <xdr:cNvPr id="2" name="Graphique 3">
          <a:extLst>
            <a:ext uri="{FF2B5EF4-FFF2-40B4-BE49-F238E27FC236}">
              <a16:creationId xmlns:a16="http://schemas.microsoft.com/office/drawing/2014/main" id="{144D5C1B-D855-2042-8F83-3E931E41A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9923</xdr:colOff>
      <xdr:row>4</xdr:row>
      <xdr:rowOff>19091</xdr:rowOff>
    </xdr:from>
    <xdr:to>
      <xdr:col>21</xdr:col>
      <xdr:colOff>619523</xdr:colOff>
      <xdr:row>19</xdr:row>
      <xdr:rowOff>19091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752C0A0E-8325-B961-69E1-4010D9915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6</xdr:row>
      <xdr:rowOff>41910</xdr:rowOff>
    </xdr:from>
    <xdr:to>
      <xdr:col>11</xdr:col>
      <xdr:colOff>655320</xdr:colOff>
      <xdr:row>21</xdr:row>
      <xdr:rowOff>41910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4E3AF89-D128-EAC1-FE1B-DF2BBE98E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E2EF-560E-4649-8DF8-98449DAAFD4C}">
  <dimension ref="A1:G13"/>
  <sheetViews>
    <sheetView topLeftCell="D1" zoomScale="97" workbookViewId="0">
      <selection activeCell="B19" sqref="B19"/>
    </sheetView>
  </sheetViews>
  <sheetFormatPr baseColWidth="10" defaultColWidth="11.44140625" defaultRowHeight="14.4" x14ac:dyDescent="0.3"/>
  <cols>
    <col min="1" max="1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</v>
      </c>
    </row>
    <row r="2" spans="1:7" x14ac:dyDescent="0.3">
      <c r="A2" s="1">
        <v>0.1</v>
      </c>
      <c r="B2">
        <v>30</v>
      </c>
      <c r="C2">
        <v>0</v>
      </c>
      <c r="D2">
        <f t="shared" ref="D2:D3" si="0" xml:space="preserve"> B2 + (C2*256)</f>
        <v>30</v>
      </c>
      <c r="E2">
        <f t="shared" ref="E2:E3" si="1" xml:space="preserve"> D2 / (1920*0.209)</f>
        <v>7.4760765550239236E-2</v>
      </c>
      <c r="F2">
        <v>1</v>
      </c>
    </row>
    <row r="3" spans="1:7" x14ac:dyDescent="0.3">
      <c r="A3" s="1">
        <v>0.2</v>
      </c>
      <c r="B3">
        <v>110</v>
      </c>
      <c r="C3">
        <v>0</v>
      </c>
      <c r="D3">
        <f t="shared" si="0"/>
        <v>110</v>
      </c>
      <c r="E3">
        <f t="shared" si="1"/>
        <v>0.27412280701754388</v>
      </c>
      <c r="F3">
        <v>2</v>
      </c>
    </row>
    <row r="4" spans="1:7" x14ac:dyDescent="0.3">
      <c r="A4" s="1">
        <v>0.3</v>
      </c>
      <c r="B4">
        <v>180</v>
      </c>
      <c r="C4">
        <v>0</v>
      </c>
      <c r="D4">
        <f t="shared" ref="D4:D5" si="2" xml:space="preserve"> B4 + (C4*256)</f>
        <v>180</v>
      </c>
      <c r="E4">
        <f t="shared" ref="E4:E5" si="3" xml:space="preserve"> D4 / (1920*0.209)</f>
        <v>0.44856459330143544</v>
      </c>
      <c r="F4">
        <v>3</v>
      </c>
    </row>
    <row r="5" spans="1:7" x14ac:dyDescent="0.3">
      <c r="A5" s="1">
        <v>0.4</v>
      </c>
      <c r="B5">
        <v>20</v>
      </c>
      <c r="C5">
        <v>1</v>
      </c>
      <c r="D5">
        <f t="shared" si="2"/>
        <v>276</v>
      </c>
      <c r="E5">
        <f t="shared" si="3"/>
        <v>0.68779904306220097</v>
      </c>
      <c r="F5">
        <v>4</v>
      </c>
      <c r="G5" t="s">
        <v>6</v>
      </c>
    </row>
    <row r="6" spans="1:7" x14ac:dyDescent="0.3">
      <c r="A6" s="1">
        <v>0.5</v>
      </c>
      <c r="B6">
        <v>100</v>
      </c>
      <c r="C6">
        <v>1</v>
      </c>
      <c r="D6">
        <f xml:space="preserve"> B6 + (C6*256)</f>
        <v>356</v>
      </c>
      <c r="E6">
        <f xml:space="preserve"> D6 / (1920*0.209)</f>
        <v>0.88716108452950559</v>
      </c>
      <c r="F6">
        <v>5</v>
      </c>
    </row>
    <row r="7" spans="1:7" x14ac:dyDescent="0.3">
      <c r="A7" s="1">
        <v>0.6</v>
      </c>
      <c r="B7">
        <v>195</v>
      </c>
      <c r="C7">
        <v>1</v>
      </c>
      <c r="D7">
        <f t="shared" ref="D7:D11" si="4" xml:space="preserve"> B7 + (C7*256)</f>
        <v>451</v>
      </c>
      <c r="E7">
        <f t="shared" ref="E7:E11" si="5" xml:space="preserve"> D7 / (1920*0.209)</f>
        <v>1.1239035087719298</v>
      </c>
      <c r="F7">
        <v>6</v>
      </c>
    </row>
    <row r="8" spans="1:7" x14ac:dyDescent="0.3">
      <c r="A8" s="1">
        <v>0.7</v>
      </c>
      <c r="B8">
        <v>30</v>
      </c>
      <c r="C8">
        <v>2</v>
      </c>
      <c r="D8">
        <f t="shared" si="4"/>
        <v>542</v>
      </c>
      <c r="E8">
        <f t="shared" si="5"/>
        <v>1.350677830940989</v>
      </c>
      <c r="F8">
        <v>7</v>
      </c>
    </row>
    <row r="9" spans="1:7" x14ac:dyDescent="0.3">
      <c r="A9" s="1">
        <v>0.8</v>
      </c>
      <c r="B9">
        <v>125</v>
      </c>
      <c r="C9">
        <v>2</v>
      </c>
      <c r="D9">
        <f t="shared" si="4"/>
        <v>637</v>
      </c>
      <c r="E9">
        <f t="shared" si="5"/>
        <v>1.5874202551834131</v>
      </c>
      <c r="F9">
        <v>8</v>
      </c>
    </row>
    <row r="10" spans="1:7" x14ac:dyDescent="0.3">
      <c r="A10" s="1">
        <v>0.9</v>
      </c>
      <c r="B10">
        <v>210</v>
      </c>
      <c r="C10">
        <v>2</v>
      </c>
      <c r="D10">
        <f t="shared" si="4"/>
        <v>722</v>
      </c>
      <c r="E10">
        <f t="shared" si="5"/>
        <v>1.7992424242424243</v>
      </c>
      <c r="F10">
        <v>9</v>
      </c>
    </row>
    <row r="11" spans="1:7" x14ac:dyDescent="0.3">
      <c r="A11" s="1">
        <v>1</v>
      </c>
      <c r="B11">
        <v>56</v>
      </c>
      <c r="C11">
        <v>3</v>
      </c>
      <c r="D11">
        <f t="shared" si="4"/>
        <v>824</v>
      </c>
      <c r="E11">
        <f t="shared" si="5"/>
        <v>2.0534290271132378</v>
      </c>
      <c r="F11">
        <v>10</v>
      </c>
    </row>
    <row r="12" spans="1:7" x14ac:dyDescent="0.3">
      <c r="A12" s="1"/>
    </row>
    <row r="13" spans="1:7" x14ac:dyDescent="0.3">
      <c r="A13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76DA-E7F8-4AD5-8A2C-BC5AECC202BC}">
  <dimension ref="A1:K11"/>
  <sheetViews>
    <sheetView zoomScale="78" zoomScaleNormal="115" workbookViewId="0">
      <selection activeCell="A14" sqref="A14"/>
    </sheetView>
  </sheetViews>
  <sheetFormatPr baseColWidth="10" defaultColWidth="11.4414062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">
      <c r="A2" s="1">
        <v>0.1</v>
      </c>
      <c r="B2">
        <v>25</v>
      </c>
      <c r="C2">
        <v>0</v>
      </c>
      <c r="D2">
        <f t="shared" ref="D2:D5" si="0" xml:space="preserve"> B2 + (C2*256)</f>
        <v>25</v>
      </c>
      <c r="E2">
        <f t="shared" ref="E2:E5" si="1" xml:space="preserve"> D2 / (1920*0.209)</f>
        <v>6.2300637958532697E-2</v>
      </c>
      <c r="F2">
        <v>1</v>
      </c>
    </row>
    <row r="3" spans="1:11" x14ac:dyDescent="0.3">
      <c r="A3" s="1">
        <v>0.2</v>
      </c>
      <c r="B3">
        <v>98</v>
      </c>
      <c r="C3">
        <v>0</v>
      </c>
      <c r="D3">
        <f t="shared" si="0"/>
        <v>98</v>
      </c>
      <c r="E3">
        <f t="shared" si="1"/>
        <v>0.2442185007974482</v>
      </c>
      <c r="F3">
        <v>2</v>
      </c>
    </row>
    <row r="4" spans="1:11" x14ac:dyDescent="0.3">
      <c r="A4" s="1">
        <v>0.3</v>
      </c>
      <c r="B4">
        <v>185</v>
      </c>
      <c r="C4">
        <v>0</v>
      </c>
      <c r="D4">
        <f t="shared" si="0"/>
        <v>185</v>
      </c>
      <c r="E4">
        <f xml:space="preserve"> D4 / (1920*0.209)</f>
        <v>0.461024720893142</v>
      </c>
      <c r="F4">
        <v>3</v>
      </c>
    </row>
    <row r="5" spans="1:11" x14ac:dyDescent="0.3">
      <c r="A5" s="1">
        <v>0.4</v>
      </c>
      <c r="B5">
        <v>23</v>
      </c>
      <c r="C5">
        <v>1</v>
      </c>
      <c r="D5">
        <f t="shared" si="0"/>
        <v>279</v>
      </c>
      <c r="E5">
        <f t="shared" si="1"/>
        <v>0.69527511961722488</v>
      </c>
      <c r="F5">
        <v>4</v>
      </c>
    </row>
    <row r="6" spans="1:11" x14ac:dyDescent="0.3">
      <c r="A6" s="1">
        <v>0.5</v>
      </c>
      <c r="B6">
        <v>110</v>
      </c>
      <c r="C6">
        <v>1</v>
      </c>
      <c r="D6">
        <f xml:space="preserve"> B6 + (C6*256)</f>
        <v>366</v>
      </c>
      <c r="E6">
        <f xml:space="preserve"> D6 / (1920*0.209)</f>
        <v>0.91208133971291872</v>
      </c>
      <c r="F6">
        <v>5</v>
      </c>
    </row>
    <row r="7" spans="1:11" x14ac:dyDescent="0.3">
      <c r="A7" s="1">
        <v>0.6</v>
      </c>
      <c r="B7">
        <v>195</v>
      </c>
      <c r="C7">
        <v>1</v>
      </c>
      <c r="D7">
        <f t="shared" ref="D7:D11" si="2" xml:space="preserve"> B7 + (C7*256)</f>
        <v>451</v>
      </c>
      <c r="E7">
        <f t="shared" ref="E7:E11" si="3" xml:space="preserve"> D7 / (1920*0.209)</f>
        <v>1.1239035087719298</v>
      </c>
      <c r="F7">
        <v>6</v>
      </c>
      <c r="K7" t="s">
        <v>8</v>
      </c>
    </row>
    <row r="8" spans="1:11" x14ac:dyDescent="0.3">
      <c r="A8" s="1">
        <v>0.7</v>
      </c>
      <c r="B8">
        <v>20</v>
      </c>
      <c r="C8">
        <v>2</v>
      </c>
      <c r="D8">
        <f t="shared" si="2"/>
        <v>532</v>
      </c>
      <c r="E8">
        <f t="shared" si="3"/>
        <v>1.3257575757575759</v>
      </c>
      <c r="F8">
        <v>7</v>
      </c>
    </row>
    <row r="9" spans="1:11" x14ac:dyDescent="0.3">
      <c r="A9" s="1">
        <v>0.8</v>
      </c>
      <c r="B9">
        <v>100</v>
      </c>
      <c r="C9">
        <v>2</v>
      </c>
      <c r="D9">
        <f t="shared" si="2"/>
        <v>612</v>
      </c>
      <c r="E9">
        <f t="shared" si="3"/>
        <v>1.5251196172248804</v>
      </c>
      <c r="F9">
        <v>8</v>
      </c>
    </row>
    <row r="10" spans="1:11" x14ac:dyDescent="0.3">
      <c r="A10" s="1">
        <v>0.9</v>
      </c>
      <c r="B10">
        <v>180</v>
      </c>
      <c r="C10">
        <v>2</v>
      </c>
      <c r="D10">
        <f t="shared" si="2"/>
        <v>692</v>
      </c>
      <c r="E10">
        <f t="shared" si="3"/>
        <v>1.7244816586921852</v>
      </c>
      <c r="F10">
        <v>9</v>
      </c>
    </row>
    <row r="11" spans="1:11" x14ac:dyDescent="0.3">
      <c r="A11" s="1">
        <v>1</v>
      </c>
      <c r="B11">
        <v>250</v>
      </c>
      <c r="C11">
        <v>2</v>
      </c>
      <c r="D11">
        <f t="shared" si="2"/>
        <v>762</v>
      </c>
      <c r="E11">
        <f t="shared" si="3"/>
        <v>1.8989234449760768</v>
      </c>
      <c r="F1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1A20-7B2C-43D5-8AEB-0E98F543ECE2}">
  <dimension ref="A1:F13"/>
  <sheetViews>
    <sheetView workbookViewId="0">
      <selection activeCell="B19" sqref="B19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0.1</v>
      </c>
      <c r="B2">
        <v>0</v>
      </c>
      <c r="C2">
        <v>0</v>
      </c>
      <c r="D2">
        <f t="shared" ref="D2:D11" si="0" xml:space="preserve"> B2 + (C2*256)</f>
        <v>0</v>
      </c>
      <c r="E2">
        <f t="shared" ref="E2:E11" si="1" xml:space="preserve"> D2 / (1920*0.209)</f>
        <v>0</v>
      </c>
      <c r="F2">
        <v>1</v>
      </c>
    </row>
    <row r="3" spans="1:6" x14ac:dyDescent="0.3">
      <c r="A3" s="1">
        <v>0.2</v>
      </c>
      <c r="B3">
        <v>97</v>
      </c>
      <c r="C3">
        <v>0</v>
      </c>
      <c r="D3">
        <f t="shared" si="0"/>
        <v>97</v>
      </c>
      <c r="E3">
        <f t="shared" si="1"/>
        <v>0.24172647527910687</v>
      </c>
      <c r="F3">
        <v>2</v>
      </c>
    </row>
    <row r="4" spans="1:6" x14ac:dyDescent="0.3">
      <c r="A4" s="1">
        <v>0.3</v>
      </c>
      <c r="B4">
        <v>180</v>
      </c>
      <c r="C4">
        <v>0</v>
      </c>
      <c r="D4">
        <f t="shared" si="0"/>
        <v>180</v>
      </c>
      <c r="E4">
        <f t="shared" si="1"/>
        <v>0.44856459330143544</v>
      </c>
      <c r="F4">
        <v>3</v>
      </c>
    </row>
    <row r="5" spans="1:6" x14ac:dyDescent="0.3">
      <c r="A5" s="1">
        <v>0.4</v>
      </c>
      <c r="B5">
        <v>0</v>
      </c>
      <c r="C5">
        <v>1</v>
      </c>
      <c r="D5">
        <f t="shared" si="0"/>
        <v>256</v>
      </c>
      <c r="E5">
        <f t="shared" si="1"/>
        <v>0.63795853269537484</v>
      </c>
      <c r="F5">
        <v>4</v>
      </c>
    </row>
    <row r="6" spans="1:6" x14ac:dyDescent="0.3">
      <c r="A6" s="1">
        <v>0.5</v>
      </c>
      <c r="B6">
        <v>90</v>
      </c>
      <c r="C6">
        <v>1</v>
      </c>
      <c r="D6">
        <f t="shared" si="0"/>
        <v>346</v>
      </c>
      <c r="E6">
        <f t="shared" si="1"/>
        <v>0.86224082934609259</v>
      </c>
      <c r="F6">
        <v>5</v>
      </c>
    </row>
    <row r="7" spans="1:6" x14ac:dyDescent="0.3">
      <c r="A7" s="1">
        <v>0.6</v>
      </c>
      <c r="B7">
        <v>175</v>
      </c>
      <c r="C7">
        <v>1</v>
      </c>
      <c r="D7">
        <f t="shared" si="0"/>
        <v>431</v>
      </c>
      <c r="E7">
        <f t="shared" si="1"/>
        <v>1.0740629984051038</v>
      </c>
      <c r="F7">
        <v>6</v>
      </c>
    </row>
    <row r="8" spans="1:6" x14ac:dyDescent="0.3">
      <c r="A8" s="1">
        <v>0.7</v>
      </c>
      <c r="B8">
        <v>15</v>
      </c>
      <c r="C8">
        <v>2</v>
      </c>
      <c r="D8">
        <f t="shared" si="0"/>
        <v>527</v>
      </c>
      <c r="E8">
        <f t="shared" si="1"/>
        <v>1.3132974481658692</v>
      </c>
      <c r="F8">
        <v>7</v>
      </c>
    </row>
    <row r="9" spans="1:6" x14ac:dyDescent="0.3">
      <c r="A9" s="1">
        <v>0.8</v>
      </c>
      <c r="B9">
        <v>100</v>
      </c>
      <c r="C9">
        <v>2</v>
      </c>
      <c r="D9">
        <f t="shared" si="0"/>
        <v>612</v>
      </c>
      <c r="E9">
        <f t="shared" si="1"/>
        <v>1.5251196172248804</v>
      </c>
      <c r="F9">
        <v>8</v>
      </c>
    </row>
    <row r="10" spans="1:6" x14ac:dyDescent="0.3">
      <c r="A10" s="1">
        <v>0.9</v>
      </c>
      <c r="B10">
        <v>180</v>
      </c>
      <c r="C10">
        <v>2</v>
      </c>
      <c r="D10">
        <f t="shared" si="0"/>
        <v>692</v>
      </c>
      <c r="E10">
        <f t="shared" si="1"/>
        <v>1.7244816586921852</v>
      </c>
      <c r="F10">
        <v>9</v>
      </c>
    </row>
    <row r="11" spans="1:6" x14ac:dyDescent="0.3">
      <c r="A11" s="1">
        <v>1</v>
      </c>
      <c r="D11">
        <f t="shared" si="0"/>
        <v>0</v>
      </c>
      <c r="E11">
        <f t="shared" si="1"/>
        <v>0</v>
      </c>
      <c r="F11">
        <v>10</v>
      </c>
    </row>
    <row r="13" spans="1:6" x14ac:dyDescent="0.3">
      <c r="A13" t="s">
        <v>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845E-F9C0-491E-8F48-1302987A7922}">
  <dimension ref="A1:O13"/>
  <sheetViews>
    <sheetView workbookViewId="0"/>
  </sheetViews>
  <sheetFormatPr baseColWidth="10" defaultRowHeight="14.4" x14ac:dyDescent="0.3"/>
  <sheetData>
    <row r="1" spans="1:15" x14ac:dyDescent="0.3">
      <c r="A1" s="3">
        <v>46107</v>
      </c>
    </row>
    <row r="2" spans="1:15" x14ac:dyDescent="0.3">
      <c r="C2" t="s">
        <v>133</v>
      </c>
    </row>
    <row r="3" spans="1:15" x14ac:dyDescent="0.3">
      <c r="A3" t="s">
        <v>132</v>
      </c>
      <c r="B3" t="s">
        <v>138</v>
      </c>
      <c r="C3" t="s">
        <v>135</v>
      </c>
      <c r="D3" t="s">
        <v>136</v>
      </c>
    </row>
    <row r="4" spans="1:15" x14ac:dyDescent="0.3">
      <c r="A4">
        <v>9.7799999999999994</v>
      </c>
      <c r="B4">
        <v>50</v>
      </c>
      <c r="C4" t="s">
        <v>134</v>
      </c>
    </row>
    <row r="5" spans="1:15" x14ac:dyDescent="0.3">
      <c r="A5">
        <v>9.8000000000000007</v>
      </c>
      <c r="B5">
        <v>50</v>
      </c>
      <c r="D5">
        <v>3.8</v>
      </c>
    </row>
    <row r="6" spans="1:15" x14ac:dyDescent="0.3">
      <c r="A6">
        <v>9.85</v>
      </c>
      <c r="B6">
        <v>50</v>
      </c>
      <c r="D6">
        <v>2</v>
      </c>
      <c r="E6">
        <v>1.5</v>
      </c>
      <c r="F6">
        <v>2.5</v>
      </c>
    </row>
    <row r="7" spans="1:15" x14ac:dyDescent="0.3">
      <c r="A7">
        <v>9.9</v>
      </c>
      <c r="B7">
        <v>50</v>
      </c>
      <c r="D7">
        <v>2</v>
      </c>
      <c r="E7">
        <v>0.5</v>
      </c>
      <c r="F7">
        <v>1.5</v>
      </c>
      <c r="G7">
        <v>1.2</v>
      </c>
    </row>
    <row r="8" spans="1:15" x14ac:dyDescent="0.3">
      <c r="A8">
        <v>9.93</v>
      </c>
      <c r="B8">
        <v>50</v>
      </c>
      <c r="D8">
        <v>0.5</v>
      </c>
      <c r="E8">
        <v>0</v>
      </c>
      <c r="F8">
        <v>0.5</v>
      </c>
    </row>
    <row r="9" spans="1:15" x14ac:dyDescent="0.3">
      <c r="A9">
        <v>9.93</v>
      </c>
      <c r="B9">
        <v>20</v>
      </c>
      <c r="D9">
        <v>-0.5</v>
      </c>
      <c r="E9">
        <v>0.3</v>
      </c>
      <c r="F9">
        <v>0.8</v>
      </c>
      <c r="J9" t="s">
        <v>137</v>
      </c>
    </row>
    <row r="10" spans="1:15" x14ac:dyDescent="0.3">
      <c r="A10">
        <v>9.93</v>
      </c>
      <c r="B10">
        <v>10</v>
      </c>
      <c r="D10">
        <v>0.2</v>
      </c>
      <c r="E10">
        <v>0.5</v>
      </c>
      <c r="F10">
        <v>0.5</v>
      </c>
    </row>
    <row r="11" spans="1:15" x14ac:dyDescent="0.3">
      <c r="A11">
        <v>9.94</v>
      </c>
      <c r="B11">
        <v>10</v>
      </c>
      <c r="D11">
        <v>0</v>
      </c>
      <c r="E11">
        <v>1</v>
      </c>
      <c r="F11">
        <v>0</v>
      </c>
      <c r="G11">
        <v>-0.5</v>
      </c>
    </row>
    <row r="12" spans="1:15" x14ac:dyDescent="0.3">
      <c r="A12">
        <v>9.94</v>
      </c>
      <c r="B12">
        <v>10</v>
      </c>
      <c r="D12">
        <v>0</v>
      </c>
      <c r="E12">
        <v>0.5</v>
      </c>
      <c r="F12">
        <v>0</v>
      </c>
      <c r="G12">
        <v>0</v>
      </c>
      <c r="H12">
        <v>1</v>
      </c>
      <c r="I12">
        <v>0</v>
      </c>
      <c r="J12">
        <v>0.5</v>
      </c>
      <c r="K12">
        <v>1</v>
      </c>
      <c r="O12" t="s">
        <v>139</v>
      </c>
    </row>
    <row r="13" spans="1:15" x14ac:dyDescent="0.3">
      <c r="A13">
        <v>9.9499999999999993</v>
      </c>
      <c r="B13">
        <v>10</v>
      </c>
      <c r="D13">
        <v>0</v>
      </c>
      <c r="E13">
        <v>0</v>
      </c>
      <c r="F1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E509-5BB0-4C39-B71B-95806ABC580F}">
  <dimension ref="A1:N16"/>
  <sheetViews>
    <sheetView tabSelected="1" workbookViewId="0">
      <selection activeCell="F24" sqref="F24"/>
    </sheetView>
  </sheetViews>
  <sheetFormatPr baseColWidth="10" defaultRowHeight="14.4" x14ac:dyDescent="0.3"/>
  <cols>
    <col min="12" max="12" width="19.109375" customWidth="1"/>
  </cols>
  <sheetData>
    <row r="1" spans="1:14" x14ac:dyDescent="0.3">
      <c r="A1" t="s">
        <v>183</v>
      </c>
    </row>
    <row r="2" spans="1:14" x14ac:dyDescent="0.3">
      <c r="A2" t="s">
        <v>46</v>
      </c>
      <c r="B2" t="s">
        <v>45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  <c r="L2" t="s">
        <v>36</v>
      </c>
      <c r="M2" t="s">
        <v>37</v>
      </c>
      <c r="N2" t="s">
        <v>81</v>
      </c>
    </row>
    <row r="3" spans="1:14" x14ac:dyDescent="0.3">
      <c r="A3">
        <v>4</v>
      </c>
      <c r="B3">
        <v>4</v>
      </c>
      <c r="C3">
        <v>0.5</v>
      </c>
      <c r="D3">
        <v>0.5</v>
      </c>
      <c r="E3">
        <v>5.0000000000000001E-3</v>
      </c>
      <c r="F3">
        <v>0.7</v>
      </c>
      <c r="G3">
        <v>0.3</v>
      </c>
      <c r="I3" t="s">
        <v>79</v>
      </c>
      <c r="J3" t="s">
        <v>80</v>
      </c>
      <c r="L3">
        <v>240</v>
      </c>
      <c r="M3" t="s">
        <v>82</v>
      </c>
    </row>
    <row r="4" spans="1:14" x14ac:dyDescent="0.3">
      <c r="A4">
        <v>3</v>
      </c>
      <c r="B4">
        <v>3</v>
      </c>
      <c r="C4">
        <v>0.5</v>
      </c>
      <c r="D4">
        <v>0.5</v>
      </c>
      <c r="E4">
        <v>5.0000000000000001E-3</v>
      </c>
      <c r="F4">
        <v>0.7</v>
      </c>
      <c r="G4">
        <v>0.3</v>
      </c>
      <c r="I4" t="s">
        <v>7</v>
      </c>
      <c r="J4" t="s">
        <v>80</v>
      </c>
      <c r="L4">
        <v>240</v>
      </c>
      <c r="M4" t="s">
        <v>82</v>
      </c>
    </row>
    <row r="5" spans="1:14" x14ac:dyDescent="0.3">
      <c r="A5">
        <v>6</v>
      </c>
      <c r="B5">
        <v>6</v>
      </c>
      <c r="C5">
        <v>0.5</v>
      </c>
      <c r="D5">
        <v>0.5</v>
      </c>
      <c r="E5">
        <v>5.0000000000000001E-3</v>
      </c>
      <c r="F5">
        <v>0.7</v>
      </c>
      <c r="G5">
        <v>0.3</v>
      </c>
      <c r="I5" t="s">
        <v>7</v>
      </c>
      <c r="J5" t="s">
        <v>83</v>
      </c>
      <c r="L5">
        <v>240</v>
      </c>
      <c r="M5" t="s">
        <v>82</v>
      </c>
    </row>
    <row r="6" spans="1:14" x14ac:dyDescent="0.3">
      <c r="A6">
        <v>6</v>
      </c>
      <c r="B6">
        <v>6</v>
      </c>
      <c r="C6">
        <v>0.5</v>
      </c>
      <c r="D6">
        <v>0.5</v>
      </c>
      <c r="E6">
        <v>5.0000000000000001E-3</v>
      </c>
      <c r="F6">
        <v>0.6</v>
      </c>
      <c r="G6">
        <v>0.4</v>
      </c>
      <c r="I6" t="s">
        <v>7</v>
      </c>
      <c r="L6">
        <v>240</v>
      </c>
      <c r="M6" t="s">
        <v>84</v>
      </c>
    </row>
    <row r="9" spans="1:14" x14ac:dyDescent="0.3">
      <c r="A9" t="s">
        <v>85</v>
      </c>
    </row>
    <row r="11" spans="1:14" x14ac:dyDescent="0.3">
      <c r="A11" t="s">
        <v>86</v>
      </c>
      <c r="B11" t="s">
        <v>87</v>
      </c>
      <c r="C11" t="s">
        <v>10</v>
      </c>
      <c r="D11" t="s">
        <v>11</v>
      </c>
      <c r="E11" t="s">
        <v>12</v>
      </c>
    </row>
    <row r="12" spans="1:14" x14ac:dyDescent="0.3">
      <c r="A12">
        <v>1</v>
      </c>
      <c r="B12">
        <v>4</v>
      </c>
      <c r="C12">
        <v>0.5</v>
      </c>
      <c r="D12">
        <v>0.5</v>
      </c>
      <c r="E12">
        <v>5.0000000000000001E-3</v>
      </c>
      <c r="I12" t="s">
        <v>7</v>
      </c>
      <c r="J12" t="s">
        <v>88</v>
      </c>
    </row>
    <row r="13" spans="1:14" x14ac:dyDescent="0.3">
      <c r="A13">
        <v>1</v>
      </c>
      <c r="B13">
        <v>1</v>
      </c>
      <c r="C13">
        <v>0.5</v>
      </c>
      <c r="D13">
        <v>0.5</v>
      </c>
      <c r="E13">
        <v>5.0000000000000001E-3</v>
      </c>
      <c r="I13" t="s">
        <v>7</v>
      </c>
      <c r="J13" t="s">
        <v>89</v>
      </c>
    </row>
    <row r="14" spans="1:14" x14ac:dyDescent="0.3">
      <c r="A14">
        <v>0.5</v>
      </c>
      <c r="B14">
        <v>3</v>
      </c>
      <c r="C14">
        <v>0.5</v>
      </c>
      <c r="D14">
        <v>0.5</v>
      </c>
      <c r="E14">
        <v>5.0000000000000001E-3</v>
      </c>
      <c r="I14" t="s">
        <v>7</v>
      </c>
      <c r="J14" t="s">
        <v>90</v>
      </c>
    </row>
    <row r="15" spans="1:14" x14ac:dyDescent="0.3">
      <c r="A15">
        <v>0</v>
      </c>
      <c r="B15">
        <v>2</v>
      </c>
      <c r="C15">
        <v>0.5</v>
      </c>
      <c r="D15">
        <v>0.5</v>
      </c>
      <c r="E15">
        <v>5.0000000000000001E-3</v>
      </c>
      <c r="I15" t="s">
        <v>7</v>
      </c>
    </row>
    <row r="16" spans="1:14" x14ac:dyDescent="0.3">
      <c r="A16">
        <v>0</v>
      </c>
      <c r="B16">
        <v>0.5</v>
      </c>
      <c r="C16">
        <v>0.5</v>
      </c>
      <c r="D16">
        <v>0.5</v>
      </c>
      <c r="E16">
        <v>5.0000000000000001E-3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7414-828F-48CD-A5F9-06A1C1A4A50C}">
  <dimension ref="A1:M19"/>
  <sheetViews>
    <sheetView workbookViewId="0">
      <selection activeCell="G22" sqref="G22"/>
    </sheetView>
  </sheetViews>
  <sheetFormatPr baseColWidth="10" defaultColWidth="11.44140625" defaultRowHeight="14.4" x14ac:dyDescent="0.3"/>
  <cols>
    <col min="10" max="10" width="57.5546875" customWidth="1"/>
  </cols>
  <sheetData>
    <row r="1" spans="1:13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H1" t="s">
        <v>15</v>
      </c>
      <c r="I1" t="s">
        <v>16</v>
      </c>
      <c r="J1" t="s">
        <v>17</v>
      </c>
      <c r="M1" t="s">
        <v>18</v>
      </c>
    </row>
    <row r="2" spans="1:13" x14ac:dyDescent="0.3">
      <c r="A2">
        <v>0.02</v>
      </c>
      <c r="B2">
        <v>0.45</v>
      </c>
      <c r="C2">
        <v>0.5</v>
      </c>
      <c r="D2">
        <v>0.01</v>
      </c>
      <c r="E2">
        <v>0.6</v>
      </c>
      <c r="F2">
        <v>0.35</v>
      </c>
      <c r="H2" t="s">
        <v>19</v>
      </c>
      <c r="I2" t="s">
        <v>20</v>
      </c>
      <c r="J2" t="s">
        <v>21</v>
      </c>
      <c r="M2" t="s">
        <v>22</v>
      </c>
    </row>
    <row r="3" spans="1:13" x14ac:dyDescent="0.3">
      <c r="A3">
        <v>0.04</v>
      </c>
      <c r="B3">
        <v>0.45</v>
      </c>
      <c r="C3">
        <v>0.5</v>
      </c>
      <c r="D3">
        <v>0.01</v>
      </c>
      <c r="E3">
        <v>0.6</v>
      </c>
      <c r="F3">
        <v>0.35</v>
      </c>
      <c r="H3" t="s">
        <v>19</v>
      </c>
      <c r="I3" t="s">
        <v>20</v>
      </c>
    </row>
    <row r="4" spans="1:13" x14ac:dyDescent="0.3">
      <c r="A4">
        <v>0.06</v>
      </c>
      <c r="B4">
        <v>0.45</v>
      </c>
      <c r="C4">
        <v>0.5</v>
      </c>
      <c r="D4">
        <v>0.01</v>
      </c>
      <c r="E4">
        <v>0.6</v>
      </c>
      <c r="F4">
        <v>0.35</v>
      </c>
      <c r="H4" t="s">
        <v>23</v>
      </c>
      <c r="I4" t="s">
        <v>24</v>
      </c>
    </row>
    <row r="6" spans="1:13" x14ac:dyDescent="0.3">
      <c r="A6">
        <v>0.02</v>
      </c>
      <c r="B6">
        <v>0.45</v>
      </c>
      <c r="C6">
        <v>0.5</v>
      </c>
      <c r="D6">
        <v>0.01</v>
      </c>
      <c r="E6">
        <v>0.55000000000000004</v>
      </c>
      <c r="F6">
        <v>0.3</v>
      </c>
      <c r="H6" t="s">
        <v>7</v>
      </c>
      <c r="I6" t="s">
        <v>25</v>
      </c>
    </row>
    <row r="7" spans="1:13" x14ac:dyDescent="0.3">
      <c r="A7">
        <v>0.02</v>
      </c>
      <c r="B7">
        <v>0.45</v>
      </c>
      <c r="C7">
        <v>0.5</v>
      </c>
      <c r="D7">
        <v>0.01</v>
      </c>
      <c r="E7">
        <v>0.55000000000000004</v>
      </c>
      <c r="F7">
        <v>0.35</v>
      </c>
      <c r="H7" t="s">
        <v>26</v>
      </c>
      <c r="I7" t="s">
        <v>27</v>
      </c>
    </row>
    <row r="8" spans="1:13" x14ac:dyDescent="0.3">
      <c r="A8">
        <v>0.02</v>
      </c>
      <c r="B8">
        <v>0.45</v>
      </c>
      <c r="C8">
        <v>0.5</v>
      </c>
      <c r="D8">
        <v>0.01</v>
      </c>
      <c r="E8">
        <v>0.7</v>
      </c>
      <c r="F8">
        <v>0.4</v>
      </c>
      <c r="H8" t="s">
        <v>19</v>
      </c>
      <c r="I8" t="s">
        <v>28</v>
      </c>
    </row>
    <row r="10" spans="1:13" x14ac:dyDescent="0.3">
      <c r="A10">
        <v>0.02</v>
      </c>
      <c r="B10">
        <v>0.45</v>
      </c>
      <c r="C10">
        <v>0.55000000000000004</v>
      </c>
      <c r="D10">
        <v>0.01</v>
      </c>
      <c r="E10">
        <v>0.7</v>
      </c>
      <c r="F10">
        <v>0.4</v>
      </c>
      <c r="H10" t="s">
        <v>26</v>
      </c>
      <c r="I10" t="s">
        <v>29</v>
      </c>
    </row>
    <row r="11" spans="1:13" x14ac:dyDescent="0.3">
      <c r="A11">
        <v>0.02</v>
      </c>
      <c r="B11">
        <v>0.45</v>
      </c>
      <c r="C11">
        <v>0.55000000000000004</v>
      </c>
      <c r="D11">
        <v>0.01</v>
      </c>
      <c r="E11">
        <v>0.7</v>
      </c>
      <c r="F11">
        <v>0.35</v>
      </c>
      <c r="H11" t="s">
        <v>7</v>
      </c>
      <c r="I11" t="s">
        <v>30</v>
      </c>
    </row>
    <row r="12" spans="1:13" x14ac:dyDescent="0.3">
      <c r="A12">
        <v>0.02</v>
      </c>
      <c r="B12">
        <v>0.45</v>
      </c>
      <c r="C12">
        <v>0.55000000000000004</v>
      </c>
      <c r="D12">
        <v>0.01</v>
      </c>
      <c r="E12">
        <v>0.6</v>
      </c>
      <c r="F12">
        <v>0.4</v>
      </c>
      <c r="H12" t="s">
        <v>31</v>
      </c>
    </row>
    <row r="13" spans="1:13" x14ac:dyDescent="0.3">
      <c r="A13">
        <v>0.04</v>
      </c>
      <c r="B13">
        <v>0.45</v>
      </c>
      <c r="C13">
        <v>0.55000000000000004</v>
      </c>
      <c r="D13">
        <v>0.01</v>
      </c>
      <c r="E13">
        <v>0.6</v>
      </c>
      <c r="F13">
        <v>0.4</v>
      </c>
      <c r="H13" t="s">
        <v>19</v>
      </c>
      <c r="I13" t="s">
        <v>32</v>
      </c>
    </row>
    <row r="14" spans="1:13" x14ac:dyDescent="0.3">
      <c r="A14">
        <v>0.01</v>
      </c>
      <c r="B14">
        <v>0.45</v>
      </c>
      <c r="C14">
        <v>0.55000000000000004</v>
      </c>
      <c r="D14">
        <v>0.01</v>
      </c>
      <c r="E14">
        <v>0.6</v>
      </c>
      <c r="F14">
        <v>0.4</v>
      </c>
      <c r="H14" t="s">
        <v>19</v>
      </c>
      <c r="I14" t="s">
        <v>33</v>
      </c>
    </row>
    <row r="15" spans="1:13" x14ac:dyDescent="0.3">
      <c r="A15">
        <v>0.03</v>
      </c>
      <c r="B15">
        <v>0.45</v>
      </c>
      <c r="C15">
        <v>0.55000000000000004</v>
      </c>
      <c r="D15">
        <v>0.01</v>
      </c>
      <c r="E15">
        <v>0.6</v>
      </c>
      <c r="F15">
        <v>0.4</v>
      </c>
      <c r="H15" t="s">
        <v>34</v>
      </c>
    </row>
    <row r="17" spans="1:8" x14ac:dyDescent="0.3">
      <c r="A17">
        <v>0.03</v>
      </c>
      <c r="B17">
        <v>0.45</v>
      </c>
      <c r="C17">
        <v>0.55000000000000004</v>
      </c>
      <c r="D17">
        <v>0.01</v>
      </c>
      <c r="E17">
        <v>0.6</v>
      </c>
      <c r="F17">
        <v>0.45</v>
      </c>
      <c r="H17" t="s">
        <v>35</v>
      </c>
    </row>
    <row r="19" spans="1:8" x14ac:dyDescent="0.3">
      <c r="A19" s="6" t="s">
        <v>185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E938-C7B6-4BB3-8F21-168558647CA9}">
  <dimension ref="A1:P61"/>
  <sheetViews>
    <sheetView topLeftCell="A36" workbookViewId="0">
      <selection activeCell="C65" sqref="C65"/>
    </sheetView>
  </sheetViews>
  <sheetFormatPr baseColWidth="10" defaultRowHeight="14.4" x14ac:dyDescent="0.3"/>
  <sheetData>
    <row r="1" spans="1:15" x14ac:dyDescent="0.3">
      <c r="A1" t="s">
        <v>46</v>
      </c>
      <c r="B1" t="s">
        <v>45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I1" t="s">
        <v>15</v>
      </c>
      <c r="J1" t="s">
        <v>16</v>
      </c>
      <c r="L1" t="s">
        <v>36</v>
      </c>
      <c r="M1" t="s">
        <v>37</v>
      </c>
      <c r="O1" t="s">
        <v>64</v>
      </c>
    </row>
    <row r="2" spans="1:15" x14ac:dyDescent="0.3">
      <c r="B2">
        <v>0.02</v>
      </c>
      <c r="C2">
        <v>0.5</v>
      </c>
      <c r="D2">
        <v>0.51141999999999999</v>
      </c>
      <c r="E2">
        <v>0.01</v>
      </c>
      <c r="F2">
        <v>0.6</v>
      </c>
      <c r="G2">
        <v>0.4</v>
      </c>
      <c r="I2" t="s">
        <v>26</v>
      </c>
      <c r="J2" t="s">
        <v>38</v>
      </c>
      <c r="L2">
        <v>180</v>
      </c>
      <c r="M2">
        <v>2.4</v>
      </c>
      <c r="O2" t="s">
        <v>44</v>
      </c>
    </row>
    <row r="3" spans="1:15" x14ac:dyDescent="0.3">
      <c r="B3">
        <v>0.02</v>
      </c>
      <c r="C3">
        <v>0.5</v>
      </c>
      <c r="D3">
        <v>0.51141999999999999</v>
      </c>
      <c r="E3">
        <v>0.01</v>
      </c>
      <c r="F3">
        <v>0.55000000000000004</v>
      </c>
      <c r="G3">
        <v>0.45</v>
      </c>
      <c r="I3" s="2" t="s">
        <v>39</v>
      </c>
      <c r="J3" t="s">
        <v>40</v>
      </c>
      <c r="L3">
        <v>181</v>
      </c>
      <c r="M3">
        <v>1</v>
      </c>
    </row>
    <row r="4" spans="1:15" x14ac:dyDescent="0.3">
      <c r="B4">
        <v>0.02</v>
      </c>
      <c r="C4">
        <v>0.6</v>
      </c>
      <c r="D4">
        <v>0.61741999999999997</v>
      </c>
      <c r="E4">
        <v>0.01</v>
      </c>
      <c r="F4">
        <v>0.65</v>
      </c>
      <c r="G4">
        <v>0.55000000000000004</v>
      </c>
      <c r="I4" t="s">
        <v>26</v>
      </c>
      <c r="J4" t="s">
        <v>41</v>
      </c>
      <c r="L4">
        <v>180</v>
      </c>
      <c r="M4" t="s">
        <v>42</v>
      </c>
      <c r="O4" t="s">
        <v>43</v>
      </c>
    </row>
    <row r="5" spans="1:15" x14ac:dyDescent="0.3">
      <c r="B5">
        <v>0.01</v>
      </c>
      <c r="C5">
        <v>0.6</v>
      </c>
      <c r="D5">
        <v>0.61741999999999997</v>
      </c>
      <c r="E5">
        <v>0.01</v>
      </c>
      <c r="F5">
        <v>0.65</v>
      </c>
      <c r="G5">
        <v>0.55000000000000004</v>
      </c>
      <c r="I5" t="s">
        <v>19</v>
      </c>
      <c r="M5">
        <v>2.4</v>
      </c>
    </row>
    <row r="7" spans="1:15" x14ac:dyDescent="0.3">
      <c r="A7" t="s">
        <v>47</v>
      </c>
    </row>
    <row r="10" spans="1:15" x14ac:dyDescent="0.3">
      <c r="A10">
        <v>6.0000000000000001E-3</v>
      </c>
      <c r="B10">
        <v>6.0000000000000001E-3</v>
      </c>
      <c r="C10">
        <v>0.6</v>
      </c>
      <c r="D10">
        <v>0.61741999999999997</v>
      </c>
      <c r="E10">
        <v>0.01</v>
      </c>
      <c r="F10">
        <v>0.65</v>
      </c>
      <c r="G10">
        <v>0.55000000000000004</v>
      </c>
      <c r="I10" t="s">
        <v>19</v>
      </c>
      <c r="J10" t="s">
        <v>49</v>
      </c>
      <c r="L10">
        <v>180</v>
      </c>
      <c r="M10">
        <v>2.4</v>
      </c>
      <c r="N10" t="s">
        <v>56</v>
      </c>
    </row>
    <row r="11" spans="1:15" x14ac:dyDescent="0.3">
      <c r="A11">
        <v>3.0000000000000001E-3</v>
      </c>
      <c r="B11">
        <v>3.0000000000000001E-3</v>
      </c>
      <c r="C11">
        <v>0.6</v>
      </c>
      <c r="D11">
        <v>0.61741999999999997</v>
      </c>
      <c r="E11">
        <v>0.01</v>
      </c>
      <c r="F11">
        <v>0.65</v>
      </c>
      <c r="G11">
        <v>0.55000000000000004</v>
      </c>
      <c r="I11" t="s">
        <v>7</v>
      </c>
      <c r="J11" t="s">
        <v>48</v>
      </c>
      <c r="L11">
        <v>180</v>
      </c>
      <c r="M11">
        <v>5</v>
      </c>
      <c r="O11" t="s">
        <v>59</v>
      </c>
    </row>
    <row r="12" spans="1:15" x14ac:dyDescent="0.3">
      <c r="A12">
        <v>6.0000000000000001E-3</v>
      </c>
      <c r="B12">
        <v>6.0000000000000001E-3</v>
      </c>
      <c r="C12">
        <v>0.6</v>
      </c>
      <c r="D12">
        <v>0.61741999999999997</v>
      </c>
      <c r="E12">
        <v>0.01</v>
      </c>
      <c r="F12">
        <v>0.63</v>
      </c>
      <c r="G12">
        <v>0.56999999999999995</v>
      </c>
      <c r="I12" t="s">
        <v>39</v>
      </c>
      <c r="J12" t="s">
        <v>50</v>
      </c>
      <c r="L12">
        <v>180</v>
      </c>
      <c r="M12">
        <v>2</v>
      </c>
      <c r="O12" t="s">
        <v>51</v>
      </c>
    </row>
    <row r="13" spans="1:15" x14ac:dyDescent="0.3">
      <c r="A13">
        <v>6.0000000000000001E-3</v>
      </c>
      <c r="B13">
        <v>6.0000000000000001E-3</v>
      </c>
      <c r="C13">
        <v>0.6</v>
      </c>
      <c r="D13">
        <v>0.63</v>
      </c>
      <c r="E13">
        <v>0.01</v>
      </c>
      <c r="F13">
        <v>0.63</v>
      </c>
      <c r="G13">
        <v>0.56999999999999995</v>
      </c>
      <c r="I13" t="s">
        <v>19</v>
      </c>
      <c r="J13" t="s">
        <v>52</v>
      </c>
      <c r="L13">
        <v>180</v>
      </c>
      <c r="M13">
        <v>3</v>
      </c>
      <c r="O13" t="s">
        <v>53</v>
      </c>
    </row>
    <row r="14" spans="1:15" x14ac:dyDescent="0.3">
      <c r="A14">
        <v>6.0000000000000001E-3</v>
      </c>
      <c r="B14">
        <v>6.0000000000000001E-3</v>
      </c>
      <c r="C14">
        <v>0.6</v>
      </c>
      <c r="D14">
        <v>0.62</v>
      </c>
      <c r="E14">
        <v>0.01</v>
      </c>
      <c r="F14">
        <v>0.63</v>
      </c>
      <c r="G14">
        <v>0.56999999999999995</v>
      </c>
      <c r="I14" t="s">
        <v>19</v>
      </c>
      <c r="J14" t="s">
        <v>52</v>
      </c>
      <c r="L14">
        <v>180</v>
      </c>
      <c r="M14">
        <v>2</v>
      </c>
    </row>
    <row r="15" spans="1:15" x14ac:dyDescent="0.3">
      <c r="A15">
        <v>6.0000000000000001E-3</v>
      </c>
      <c r="B15">
        <v>6.0000000000000001E-3</v>
      </c>
      <c r="C15">
        <v>0.6</v>
      </c>
      <c r="D15">
        <v>0.61</v>
      </c>
      <c r="E15">
        <v>0.01</v>
      </c>
      <c r="F15">
        <v>0.63</v>
      </c>
      <c r="G15">
        <v>0.56999999999999995</v>
      </c>
      <c r="I15" t="s">
        <v>19</v>
      </c>
      <c r="J15" t="s">
        <v>54</v>
      </c>
      <c r="L15">
        <v>180</v>
      </c>
      <c r="M15">
        <v>2</v>
      </c>
    </row>
    <row r="16" spans="1:15" x14ac:dyDescent="0.3">
      <c r="A16">
        <v>6.0000000000000001E-3</v>
      </c>
      <c r="B16">
        <v>6.0000000000000001E-3</v>
      </c>
      <c r="C16">
        <v>0.6</v>
      </c>
      <c r="D16">
        <v>0.61499999999999999</v>
      </c>
      <c r="E16">
        <v>0.01</v>
      </c>
      <c r="F16">
        <v>0.63</v>
      </c>
      <c r="G16">
        <v>0.56999999999999995</v>
      </c>
      <c r="I16" s="2" t="s">
        <v>55</v>
      </c>
      <c r="L16">
        <v>180</v>
      </c>
      <c r="M16" t="s">
        <v>42</v>
      </c>
      <c r="N16" t="s">
        <v>56</v>
      </c>
      <c r="O16" t="s">
        <v>57</v>
      </c>
    </row>
    <row r="20" spans="1:16" x14ac:dyDescent="0.3">
      <c r="A20" t="s">
        <v>58</v>
      </c>
    </row>
    <row r="22" spans="1:16" x14ac:dyDescent="0.3">
      <c r="A22" t="s">
        <v>60</v>
      </c>
    </row>
    <row r="23" spans="1:16" x14ac:dyDescent="0.3">
      <c r="A23">
        <v>3.0000000000000001E-3</v>
      </c>
      <c r="B23">
        <v>3.0000000000000001E-3</v>
      </c>
      <c r="C23">
        <v>0.6</v>
      </c>
      <c r="D23">
        <v>0.61499999999999999</v>
      </c>
      <c r="E23">
        <v>0.01</v>
      </c>
      <c r="F23">
        <v>0.63</v>
      </c>
      <c r="G23">
        <v>0.56999999999999995</v>
      </c>
      <c r="M23" t="s">
        <v>62</v>
      </c>
      <c r="N23" t="s">
        <v>61</v>
      </c>
      <c r="P23" t="s">
        <v>63</v>
      </c>
    </row>
    <row r="24" spans="1:16" x14ac:dyDescent="0.3">
      <c r="A24">
        <v>3.0000000000000001E-3</v>
      </c>
      <c r="B24">
        <v>3.0000000000000001E-3</v>
      </c>
      <c r="C24">
        <v>0.6</v>
      </c>
      <c r="D24">
        <v>0.61499999999999999</v>
      </c>
      <c r="E24">
        <v>0.01</v>
      </c>
      <c r="F24">
        <v>0.63</v>
      </c>
      <c r="G24">
        <v>0.56999999999999995</v>
      </c>
      <c r="M24" t="s">
        <v>42</v>
      </c>
      <c r="N24">
        <v>2.4</v>
      </c>
    </row>
    <row r="25" spans="1:16" x14ac:dyDescent="0.3">
      <c r="A25">
        <v>3.0000000000000001E-3</v>
      </c>
      <c r="B25">
        <v>3.0000000000000001E-3</v>
      </c>
      <c r="C25">
        <v>0.6</v>
      </c>
      <c r="D25">
        <v>0.61499999999999999</v>
      </c>
      <c r="E25">
        <v>0.01</v>
      </c>
      <c r="F25">
        <v>0.63</v>
      </c>
      <c r="G25">
        <v>0.56999999999999995</v>
      </c>
      <c r="M25" t="s">
        <v>66</v>
      </c>
      <c r="N25">
        <v>4</v>
      </c>
    </row>
    <row r="26" spans="1:16" x14ac:dyDescent="0.3">
      <c r="A26">
        <v>3.0000000000000001E-3</v>
      </c>
      <c r="B26">
        <v>3.0000000000000001E-3</v>
      </c>
      <c r="C26">
        <v>0.6</v>
      </c>
      <c r="D26">
        <v>0.61499999999999999</v>
      </c>
      <c r="E26">
        <v>0.01</v>
      </c>
      <c r="F26">
        <v>0.63</v>
      </c>
      <c r="G26">
        <v>0.56999999999999995</v>
      </c>
      <c r="M26">
        <v>4.8</v>
      </c>
      <c r="N26" t="s">
        <v>67</v>
      </c>
    </row>
    <row r="27" spans="1:16" x14ac:dyDescent="0.3">
      <c r="A27">
        <v>3.0000000000000001E-3</v>
      </c>
      <c r="B27">
        <v>3.0000000000000001E-3</v>
      </c>
      <c r="C27">
        <v>0.6</v>
      </c>
      <c r="D27">
        <v>0.61499999999999999</v>
      </c>
      <c r="E27">
        <v>0.01</v>
      </c>
      <c r="F27">
        <v>0.63</v>
      </c>
      <c r="G27">
        <v>0.56999999999999995</v>
      </c>
      <c r="M27">
        <v>2.4</v>
      </c>
      <c r="N27">
        <v>2.4</v>
      </c>
    </row>
    <row r="28" spans="1:16" x14ac:dyDescent="0.3">
      <c r="A28">
        <v>6.0000000000000001E-3</v>
      </c>
      <c r="B28">
        <v>6.0000000000000001E-3</v>
      </c>
      <c r="C28">
        <v>0.6</v>
      </c>
      <c r="D28">
        <v>0.61499999999999999</v>
      </c>
      <c r="E28">
        <v>0.01</v>
      </c>
      <c r="F28">
        <v>0.63</v>
      </c>
      <c r="G28">
        <v>0.56999999999999995</v>
      </c>
      <c r="M28">
        <v>5</v>
      </c>
      <c r="N28">
        <v>2.4</v>
      </c>
    </row>
    <row r="29" spans="1:16" x14ac:dyDescent="0.3">
      <c r="A29">
        <v>6.0000000000000001E-3</v>
      </c>
      <c r="B29">
        <v>6.0000000000000001E-3</v>
      </c>
      <c r="C29">
        <v>0.6</v>
      </c>
      <c r="D29">
        <v>0.61499999999999999</v>
      </c>
      <c r="E29">
        <v>0.01</v>
      </c>
      <c r="F29">
        <v>0.63</v>
      </c>
      <c r="G29">
        <v>0.56999999999999995</v>
      </c>
      <c r="M29" t="s">
        <v>65</v>
      </c>
      <c r="N29">
        <v>5</v>
      </c>
    </row>
    <row r="30" spans="1:16" x14ac:dyDescent="0.3">
      <c r="A30">
        <v>6.0000000000000001E-3</v>
      </c>
      <c r="B30">
        <v>6.0000000000000001E-3</v>
      </c>
      <c r="C30">
        <v>0.6</v>
      </c>
      <c r="D30">
        <v>0.61499999999999999</v>
      </c>
      <c r="E30">
        <v>0.01</v>
      </c>
      <c r="F30">
        <v>0.63</v>
      </c>
      <c r="G30">
        <v>0.56999999999999995</v>
      </c>
      <c r="M30" t="s">
        <v>42</v>
      </c>
      <c r="N30">
        <v>2.4</v>
      </c>
    </row>
    <row r="31" spans="1:16" x14ac:dyDescent="0.3">
      <c r="A31">
        <v>6.0000000000000001E-3</v>
      </c>
      <c r="B31">
        <v>6.0000000000000001E-3</v>
      </c>
      <c r="C31">
        <v>0.6</v>
      </c>
      <c r="D31">
        <v>0.61499999999999999</v>
      </c>
      <c r="E31">
        <v>0.01</v>
      </c>
      <c r="F31">
        <v>0.63</v>
      </c>
      <c r="G31">
        <v>0.56999999999999995</v>
      </c>
      <c r="M31" t="s">
        <v>65</v>
      </c>
      <c r="N31" t="s">
        <v>42</v>
      </c>
    </row>
    <row r="34" spans="1:16" x14ac:dyDescent="0.3">
      <c r="A34" t="s">
        <v>69</v>
      </c>
    </row>
    <row r="36" spans="1:16" x14ac:dyDescent="0.3">
      <c r="A36" t="s">
        <v>46</v>
      </c>
      <c r="B36" t="s">
        <v>45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I36" t="s">
        <v>15</v>
      </c>
      <c r="J36" t="s">
        <v>16</v>
      </c>
      <c r="L36" t="s">
        <v>36</v>
      </c>
      <c r="M36" t="s">
        <v>62</v>
      </c>
      <c r="N36" t="s">
        <v>61</v>
      </c>
    </row>
    <row r="37" spans="1:16" x14ac:dyDescent="0.3">
      <c r="A37">
        <v>2</v>
      </c>
      <c r="B37">
        <v>2</v>
      </c>
      <c r="C37">
        <v>0.6</v>
      </c>
      <c r="D37">
        <v>0.61499999999999999</v>
      </c>
      <c r="E37">
        <v>0.01</v>
      </c>
      <c r="F37">
        <v>0.65</v>
      </c>
      <c r="G37">
        <v>0.55000000000000004</v>
      </c>
      <c r="I37" t="s">
        <v>26</v>
      </c>
      <c r="J37" t="s">
        <v>70</v>
      </c>
      <c r="L37">
        <v>240</v>
      </c>
      <c r="M37" t="s">
        <v>42</v>
      </c>
      <c r="N37">
        <v>4.8</v>
      </c>
    </row>
    <row r="38" spans="1:16" x14ac:dyDescent="0.3">
      <c r="A38">
        <v>2</v>
      </c>
      <c r="B38">
        <v>2</v>
      </c>
      <c r="C38">
        <v>0.6</v>
      </c>
      <c r="D38">
        <v>0.61499999999999999</v>
      </c>
      <c r="E38">
        <v>0.01</v>
      </c>
      <c r="F38">
        <v>0.65</v>
      </c>
      <c r="G38">
        <v>0.55000000000000004</v>
      </c>
      <c r="M38">
        <v>2.4</v>
      </c>
      <c r="N38">
        <v>2.4</v>
      </c>
    </row>
    <row r="40" spans="1:16" x14ac:dyDescent="0.3">
      <c r="A40">
        <v>3</v>
      </c>
      <c r="B40">
        <v>3</v>
      </c>
      <c r="C40">
        <v>0.6</v>
      </c>
      <c r="D40">
        <v>0.61499999999999999</v>
      </c>
      <c r="E40">
        <v>0.01</v>
      </c>
      <c r="F40">
        <v>0.65</v>
      </c>
      <c r="G40">
        <v>0.55000000000000004</v>
      </c>
      <c r="I40" t="s">
        <v>26</v>
      </c>
      <c r="M40">
        <v>2.4</v>
      </c>
      <c r="N40">
        <v>2.4</v>
      </c>
      <c r="P40" t="s">
        <v>71</v>
      </c>
    </row>
    <row r="42" spans="1:16" x14ac:dyDescent="0.3">
      <c r="A42">
        <v>1</v>
      </c>
      <c r="B42">
        <v>1</v>
      </c>
      <c r="C42">
        <v>0.6</v>
      </c>
      <c r="D42">
        <v>0.61499999999999999</v>
      </c>
      <c r="E42">
        <v>0.01</v>
      </c>
      <c r="F42">
        <v>0.65</v>
      </c>
      <c r="G42">
        <v>0.55000000000000004</v>
      </c>
      <c r="I42" t="s">
        <v>23</v>
      </c>
      <c r="M42">
        <v>4.8</v>
      </c>
      <c r="N42">
        <v>4.8</v>
      </c>
      <c r="O42" t="s">
        <v>72</v>
      </c>
    </row>
    <row r="43" spans="1:16" x14ac:dyDescent="0.3">
      <c r="A43">
        <v>2.5</v>
      </c>
      <c r="B43">
        <v>2.5</v>
      </c>
      <c r="C43">
        <v>0.6</v>
      </c>
      <c r="D43">
        <v>0.61499999999999999</v>
      </c>
      <c r="E43">
        <v>0.01</v>
      </c>
      <c r="F43">
        <v>0.65</v>
      </c>
      <c r="G43">
        <v>0.55000000000000004</v>
      </c>
      <c r="M43">
        <v>2.4</v>
      </c>
      <c r="N43">
        <v>4.8</v>
      </c>
      <c r="O43" t="s">
        <v>74</v>
      </c>
    </row>
    <row r="44" spans="1:16" x14ac:dyDescent="0.3">
      <c r="A44">
        <v>2.5</v>
      </c>
      <c r="B44">
        <v>2.5</v>
      </c>
      <c r="C44">
        <v>0.6</v>
      </c>
      <c r="D44">
        <v>0.61499999999999999</v>
      </c>
      <c r="E44">
        <v>0.01</v>
      </c>
      <c r="F44">
        <v>0.65</v>
      </c>
      <c r="G44">
        <v>0.55000000000000004</v>
      </c>
      <c r="M44" t="s">
        <v>42</v>
      </c>
      <c r="N44">
        <v>4.8</v>
      </c>
    </row>
    <row r="45" spans="1:16" x14ac:dyDescent="0.3">
      <c r="A45">
        <v>2.2999999999999998</v>
      </c>
      <c r="B45">
        <v>2.2999999999999998</v>
      </c>
      <c r="C45">
        <v>0.6</v>
      </c>
      <c r="D45">
        <v>0.61499999999999999</v>
      </c>
      <c r="E45">
        <v>0.01</v>
      </c>
      <c r="F45">
        <v>0.65</v>
      </c>
      <c r="G45">
        <v>0.55000000000000004</v>
      </c>
      <c r="M45" t="s">
        <v>42</v>
      </c>
      <c r="N45">
        <v>4.8</v>
      </c>
      <c r="O45" t="s">
        <v>73</v>
      </c>
    </row>
    <row r="46" spans="1:16" x14ac:dyDescent="0.3">
      <c r="A46">
        <v>2.2999999999999998</v>
      </c>
      <c r="B46">
        <v>2.2999999999999998</v>
      </c>
      <c r="C46">
        <v>0.6</v>
      </c>
      <c r="D46">
        <v>0.61499999999999999</v>
      </c>
      <c r="E46">
        <v>0.01</v>
      </c>
      <c r="F46">
        <v>0.65</v>
      </c>
      <c r="G46">
        <v>0.55000000000000004</v>
      </c>
      <c r="M46">
        <v>6.6</v>
      </c>
      <c r="N46">
        <v>4.8</v>
      </c>
      <c r="O46" t="s">
        <v>75</v>
      </c>
    </row>
    <row r="47" spans="1:16" x14ac:dyDescent="0.3">
      <c r="A47">
        <v>2.2999999999999998</v>
      </c>
      <c r="B47">
        <v>2.2999999999999998</v>
      </c>
      <c r="C47">
        <v>0.6</v>
      </c>
      <c r="D47">
        <v>0.61499999999999999</v>
      </c>
      <c r="E47">
        <v>0.01</v>
      </c>
      <c r="F47">
        <v>0.65</v>
      </c>
      <c r="G47">
        <v>0.55000000000000004</v>
      </c>
      <c r="M47">
        <v>2.4</v>
      </c>
      <c r="N47">
        <v>4.8</v>
      </c>
    </row>
    <row r="49" spans="1:15" x14ac:dyDescent="0.3">
      <c r="A49">
        <v>2.2999999999999998</v>
      </c>
      <c r="B49">
        <v>2.2999999999999998</v>
      </c>
      <c r="C49">
        <v>0.6</v>
      </c>
      <c r="D49">
        <v>0.63149999999999995</v>
      </c>
      <c r="E49">
        <v>0.01</v>
      </c>
      <c r="F49">
        <v>0.7</v>
      </c>
      <c r="G49">
        <v>0.5</v>
      </c>
      <c r="M49">
        <v>2.4</v>
      </c>
      <c r="N49">
        <v>4.8</v>
      </c>
      <c r="O49" t="s">
        <v>76</v>
      </c>
    </row>
    <row r="50" spans="1:15" x14ac:dyDescent="0.3">
      <c r="M50">
        <v>4.8</v>
      </c>
      <c r="N50">
        <v>2.4</v>
      </c>
    </row>
    <row r="52" spans="1:15" x14ac:dyDescent="0.3">
      <c r="A52">
        <v>2.2999999999999998</v>
      </c>
      <c r="B52">
        <v>2.2999999999999998</v>
      </c>
      <c r="C52">
        <v>0.6</v>
      </c>
      <c r="D52">
        <v>0.6</v>
      </c>
      <c r="E52">
        <v>0.01</v>
      </c>
      <c r="F52">
        <v>0.7</v>
      </c>
      <c r="G52">
        <v>0.5</v>
      </c>
      <c r="M52" t="s">
        <v>42</v>
      </c>
      <c r="N52">
        <v>4.8</v>
      </c>
    </row>
    <row r="53" spans="1:15" x14ac:dyDescent="0.3">
      <c r="M53" t="s">
        <v>42</v>
      </c>
      <c r="N53">
        <v>4.8</v>
      </c>
    </row>
    <row r="54" spans="1:15" x14ac:dyDescent="0.3">
      <c r="M54">
        <v>4.8</v>
      </c>
      <c r="N54">
        <v>4.8</v>
      </c>
    </row>
    <row r="55" spans="1:15" x14ac:dyDescent="0.3">
      <c r="M55">
        <v>2.4</v>
      </c>
      <c r="N55">
        <v>4.8</v>
      </c>
    </row>
    <row r="56" spans="1:15" x14ac:dyDescent="0.3">
      <c r="A56">
        <v>2.2999999999999998</v>
      </c>
      <c r="B56">
        <v>2.2999999999999998</v>
      </c>
      <c r="C56">
        <v>0.6</v>
      </c>
      <c r="D56">
        <v>0.61499999999999999</v>
      </c>
      <c r="E56">
        <v>0.01</v>
      </c>
      <c r="F56">
        <v>0.7</v>
      </c>
      <c r="G56">
        <v>0.5</v>
      </c>
      <c r="M56">
        <v>2.4</v>
      </c>
      <c r="N56">
        <v>4.8</v>
      </c>
      <c r="O56" t="s">
        <v>73</v>
      </c>
    </row>
    <row r="58" spans="1:15" x14ac:dyDescent="0.3">
      <c r="A58">
        <v>1.5</v>
      </c>
      <c r="B58">
        <v>1.5</v>
      </c>
      <c r="C58">
        <v>0.6</v>
      </c>
      <c r="D58">
        <v>0.6</v>
      </c>
      <c r="E58">
        <v>5.0000000000000001E-3</v>
      </c>
      <c r="F58">
        <v>0.65</v>
      </c>
      <c r="G58">
        <v>0.55000000000000004</v>
      </c>
      <c r="I58" t="s">
        <v>78</v>
      </c>
      <c r="M58" t="s">
        <v>42</v>
      </c>
      <c r="N58">
        <v>4.8</v>
      </c>
      <c r="O58" t="s">
        <v>77</v>
      </c>
    </row>
    <row r="59" spans="1:15" x14ac:dyDescent="0.3">
      <c r="A59">
        <v>2</v>
      </c>
      <c r="B59">
        <v>2</v>
      </c>
      <c r="C59">
        <v>0.6</v>
      </c>
      <c r="D59">
        <v>0.6</v>
      </c>
      <c r="E59">
        <v>5.0000000000000001E-3</v>
      </c>
      <c r="F59">
        <v>0.65</v>
      </c>
      <c r="G59">
        <v>0.55000000000000004</v>
      </c>
      <c r="M59">
        <v>2.4</v>
      </c>
      <c r="N59">
        <v>4.8</v>
      </c>
    </row>
    <row r="61" spans="1:15" x14ac:dyDescent="0.3">
      <c r="A61" s="6" t="s">
        <v>184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7DB9-7767-45DC-9985-8D1E9557BD1E}">
  <dimension ref="A1:R20"/>
  <sheetViews>
    <sheetView zoomScale="94" workbookViewId="0">
      <selection activeCell="L17" sqref="L17"/>
    </sheetView>
  </sheetViews>
  <sheetFormatPr baseColWidth="10" defaultRowHeight="14.4" x14ac:dyDescent="0.3"/>
  <sheetData>
    <row r="1" spans="1:18" x14ac:dyDescent="0.3">
      <c r="B1" t="s">
        <v>101</v>
      </c>
      <c r="Q1" t="s">
        <v>126</v>
      </c>
    </row>
    <row r="2" spans="1:18" x14ac:dyDescent="0.3">
      <c r="A2" t="s">
        <v>46</v>
      </c>
      <c r="B2" t="s">
        <v>45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  <c r="L2" t="s">
        <v>36</v>
      </c>
      <c r="M2" t="s">
        <v>37</v>
      </c>
    </row>
    <row r="3" spans="1:18" x14ac:dyDescent="0.3">
      <c r="A3">
        <v>2</v>
      </c>
      <c r="B3">
        <v>2</v>
      </c>
      <c r="C3">
        <v>0.5</v>
      </c>
      <c r="D3">
        <v>0.5</v>
      </c>
      <c r="E3" t="s">
        <v>7</v>
      </c>
      <c r="F3" t="s">
        <v>91</v>
      </c>
      <c r="G3" t="s">
        <v>91</v>
      </c>
      <c r="I3" t="s">
        <v>7</v>
      </c>
      <c r="L3">
        <v>240</v>
      </c>
      <c r="M3" t="s">
        <v>94</v>
      </c>
      <c r="R3" t="s">
        <v>131</v>
      </c>
    </row>
    <row r="4" spans="1:18" x14ac:dyDescent="0.3">
      <c r="A4">
        <v>3</v>
      </c>
      <c r="B4">
        <v>3</v>
      </c>
      <c r="C4">
        <v>0.5</v>
      </c>
      <c r="D4">
        <v>0.5</v>
      </c>
      <c r="E4" t="s">
        <v>7</v>
      </c>
      <c r="F4" t="s">
        <v>91</v>
      </c>
      <c r="G4" t="s">
        <v>91</v>
      </c>
      <c r="I4" t="s">
        <v>7</v>
      </c>
      <c r="L4">
        <v>240</v>
      </c>
      <c r="M4" s="3" t="s">
        <v>93</v>
      </c>
    </row>
    <row r="5" spans="1:18" x14ac:dyDescent="0.3">
      <c r="A5">
        <v>4</v>
      </c>
      <c r="B5">
        <v>4</v>
      </c>
      <c r="C5">
        <v>0.5</v>
      </c>
      <c r="D5">
        <v>0.5</v>
      </c>
      <c r="E5" t="s">
        <v>7</v>
      </c>
      <c r="F5" t="s">
        <v>91</v>
      </c>
      <c r="G5" t="s">
        <v>91</v>
      </c>
    </row>
    <row r="6" spans="1:18" x14ac:dyDescent="0.3">
      <c r="A6">
        <v>100</v>
      </c>
      <c r="B6">
        <v>100</v>
      </c>
      <c r="C6">
        <v>0.5</v>
      </c>
      <c r="D6">
        <v>0.5</v>
      </c>
      <c r="E6" t="s">
        <v>7</v>
      </c>
      <c r="F6" t="s">
        <v>91</v>
      </c>
      <c r="G6" t="s">
        <v>91</v>
      </c>
      <c r="I6" t="s">
        <v>8</v>
      </c>
      <c r="L6">
        <v>240</v>
      </c>
      <c r="M6" t="s">
        <v>92</v>
      </c>
      <c r="N6" t="s">
        <v>95</v>
      </c>
      <c r="O6">
        <v>8.6</v>
      </c>
    </row>
    <row r="7" spans="1:18" x14ac:dyDescent="0.3">
      <c r="A7">
        <v>200</v>
      </c>
      <c r="B7">
        <v>200</v>
      </c>
      <c r="C7">
        <v>0.5</v>
      </c>
      <c r="D7">
        <v>0.5</v>
      </c>
      <c r="E7" t="s">
        <v>7</v>
      </c>
      <c r="F7" t="s">
        <v>91</v>
      </c>
      <c r="G7" t="s">
        <v>91</v>
      </c>
      <c r="M7" t="s">
        <v>96</v>
      </c>
      <c r="N7" t="s">
        <v>96</v>
      </c>
      <c r="O7">
        <v>4.8</v>
      </c>
    </row>
    <row r="8" spans="1:18" x14ac:dyDescent="0.3">
      <c r="A8">
        <v>400</v>
      </c>
      <c r="B8">
        <v>400</v>
      </c>
      <c r="C8">
        <v>0.5</v>
      </c>
      <c r="D8">
        <v>0.5</v>
      </c>
      <c r="E8" t="s">
        <v>7</v>
      </c>
      <c r="F8" t="s">
        <v>91</v>
      </c>
      <c r="G8" t="s">
        <v>91</v>
      </c>
      <c r="I8" t="s">
        <v>97</v>
      </c>
    </row>
    <row r="9" spans="1:18" x14ac:dyDescent="0.3">
      <c r="A9">
        <v>200</v>
      </c>
      <c r="B9">
        <v>200</v>
      </c>
      <c r="C9">
        <v>0.5</v>
      </c>
      <c r="D9">
        <v>0.5</v>
      </c>
      <c r="E9" t="s">
        <v>7</v>
      </c>
      <c r="F9" t="s">
        <v>91</v>
      </c>
      <c r="G9" t="s">
        <v>91</v>
      </c>
      <c r="L9" s="2">
        <v>120</v>
      </c>
      <c r="M9" t="s">
        <v>98</v>
      </c>
      <c r="N9" t="s">
        <v>99</v>
      </c>
      <c r="O9" t="s">
        <v>100</v>
      </c>
      <c r="P9" t="s">
        <v>99</v>
      </c>
    </row>
    <row r="10" spans="1:18" x14ac:dyDescent="0.3">
      <c r="A10">
        <v>200</v>
      </c>
      <c r="B10">
        <v>200</v>
      </c>
      <c r="C10">
        <v>0.5</v>
      </c>
      <c r="D10">
        <v>0.5</v>
      </c>
      <c r="E10" t="s">
        <v>7</v>
      </c>
      <c r="F10" t="s">
        <v>91</v>
      </c>
      <c r="G10" t="s">
        <v>91</v>
      </c>
      <c r="I10" t="s">
        <v>8</v>
      </c>
      <c r="J10" t="s">
        <v>102</v>
      </c>
      <c r="L10" t="s">
        <v>105</v>
      </c>
      <c r="M10" t="s">
        <v>103</v>
      </c>
      <c r="N10" t="s">
        <v>103</v>
      </c>
      <c r="O10" t="s">
        <v>104</v>
      </c>
    </row>
    <row r="11" spans="1:18" x14ac:dyDescent="0.3">
      <c r="A11">
        <v>200</v>
      </c>
      <c r="B11">
        <v>200</v>
      </c>
      <c r="C11">
        <v>0.5</v>
      </c>
      <c r="D11">
        <v>0.5</v>
      </c>
      <c r="E11" t="s">
        <v>7</v>
      </c>
      <c r="F11" t="s">
        <v>91</v>
      </c>
      <c r="G11" t="s">
        <v>91</v>
      </c>
      <c r="I11" t="s">
        <v>8</v>
      </c>
      <c r="J11" t="s">
        <v>109</v>
      </c>
      <c r="L11" t="s">
        <v>106</v>
      </c>
      <c r="M11" t="s">
        <v>107</v>
      </c>
      <c r="N11" t="s">
        <v>108</v>
      </c>
      <c r="O11" s="3" t="s">
        <v>130</v>
      </c>
    </row>
    <row r="12" spans="1:18" x14ac:dyDescent="0.3">
      <c r="A12">
        <v>200</v>
      </c>
      <c r="B12">
        <v>200</v>
      </c>
      <c r="C12">
        <v>0.5</v>
      </c>
      <c r="D12">
        <v>0.5</v>
      </c>
      <c r="E12" t="s">
        <v>7</v>
      </c>
      <c r="F12" t="s">
        <v>91</v>
      </c>
      <c r="G12" t="s">
        <v>91</v>
      </c>
      <c r="I12" t="s">
        <v>8</v>
      </c>
      <c r="L12" t="s">
        <v>111</v>
      </c>
      <c r="M12" t="s">
        <v>112</v>
      </c>
      <c r="N12" s="3" t="s">
        <v>123</v>
      </c>
      <c r="O12" t="s">
        <v>113</v>
      </c>
      <c r="Q12" t="s">
        <v>110</v>
      </c>
    </row>
    <row r="13" spans="1:18" x14ac:dyDescent="0.3">
      <c r="A13">
        <v>200</v>
      </c>
      <c r="B13">
        <v>200</v>
      </c>
      <c r="C13">
        <v>0.5</v>
      </c>
      <c r="D13">
        <v>0.5</v>
      </c>
      <c r="E13" t="s">
        <v>7</v>
      </c>
      <c r="F13" t="s">
        <v>91</v>
      </c>
      <c r="G13" t="s">
        <v>91</v>
      </c>
      <c r="I13" t="s">
        <v>8</v>
      </c>
      <c r="J13" t="s">
        <v>121</v>
      </c>
      <c r="L13" t="s">
        <v>114</v>
      </c>
      <c r="M13" t="s">
        <v>115</v>
      </c>
      <c r="N13" t="s">
        <v>116</v>
      </c>
      <c r="O13" t="s">
        <v>117</v>
      </c>
    </row>
    <row r="15" spans="1:18" x14ac:dyDescent="0.3">
      <c r="A15" t="s">
        <v>118</v>
      </c>
    </row>
    <row r="16" spans="1:18" x14ac:dyDescent="0.3">
      <c r="A16" t="s">
        <v>12</v>
      </c>
      <c r="B16" t="s">
        <v>119</v>
      </c>
      <c r="C16" t="s">
        <v>10</v>
      </c>
      <c r="D16" t="s">
        <v>11</v>
      </c>
      <c r="F16" t="s">
        <v>13</v>
      </c>
      <c r="G16" t="s">
        <v>14</v>
      </c>
      <c r="I16" t="s">
        <v>15</v>
      </c>
      <c r="J16" t="s">
        <v>16</v>
      </c>
      <c r="L16" t="s">
        <v>36</v>
      </c>
      <c r="M16" t="s">
        <v>37</v>
      </c>
    </row>
    <row r="17" spans="1:15" x14ac:dyDescent="0.3">
      <c r="A17">
        <v>1E-4</v>
      </c>
      <c r="B17">
        <v>200</v>
      </c>
      <c r="C17">
        <v>0.5</v>
      </c>
      <c r="D17">
        <v>0.5</v>
      </c>
      <c r="F17" t="s">
        <v>91</v>
      </c>
      <c r="G17" t="s">
        <v>91</v>
      </c>
      <c r="I17" t="s">
        <v>8</v>
      </c>
      <c r="L17" t="s">
        <v>114</v>
      </c>
      <c r="M17" t="s">
        <v>122</v>
      </c>
      <c r="N17" t="s">
        <v>120</v>
      </c>
      <c r="O17" t="s">
        <v>103</v>
      </c>
    </row>
    <row r="18" spans="1:15" x14ac:dyDescent="0.3">
      <c r="A18">
        <v>1E-3</v>
      </c>
      <c r="B18">
        <v>200</v>
      </c>
      <c r="C18">
        <v>0.5</v>
      </c>
      <c r="D18">
        <v>0.5</v>
      </c>
      <c r="F18" t="s">
        <v>91</v>
      </c>
      <c r="G18" t="s">
        <v>91</v>
      </c>
      <c r="I18" t="s">
        <v>8</v>
      </c>
      <c r="L18" t="s">
        <v>114</v>
      </c>
      <c r="M18" t="s">
        <v>124</v>
      </c>
      <c r="N18" t="s">
        <v>115</v>
      </c>
      <c r="O18" t="s">
        <v>117</v>
      </c>
    </row>
    <row r="19" spans="1:15" x14ac:dyDescent="0.3">
      <c r="A19">
        <v>0.01</v>
      </c>
      <c r="I19" t="s">
        <v>7</v>
      </c>
      <c r="J19" t="s">
        <v>125</v>
      </c>
    </row>
    <row r="20" spans="1:15" x14ac:dyDescent="0.3">
      <c r="A20">
        <v>1E-3</v>
      </c>
      <c r="B20">
        <v>200</v>
      </c>
      <c r="C20">
        <v>0.5</v>
      </c>
      <c r="D20">
        <v>0.5</v>
      </c>
      <c r="F20" t="s">
        <v>91</v>
      </c>
      <c r="G20" t="s">
        <v>91</v>
      </c>
      <c r="I20" t="s">
        <v>8</v>
      </c>
      <c r="L20" t="s">
        <v>111</v>
      </c>
      <c r="M20" t="s">
        <v>127</v>
      </c>
      <c r="N20" t="s">
        <v>124</v>
      </c>
      <c r="O20" t="s">
        <v>128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2865-E6ED-460E-98D9-31B371D68AF6}">
  <dimension ref="A1:Q36"/>
  <sheetViews>
    <sheetView zoomScale="78" workbookViewId="0">
      <selection activeCell="D44" sqref="D44"/>
    </sheetView>
  </sheetViews>
  <sheetFormatPr baseColWidth="10" defaultRowHeight="14.4" x14ac:dyDescent="0.3"/>
  <sheetData>
    <row r="1" spans="1:17" x14ac:dyDescent="0.3">
      <c r="A1" s="5">
        <v>46108</v>
      </c>
      <c r="F1" s="6" t="s">
        <v>180</v>
      </c>
    </row>
    <row r="3" spans="1:17" x14ac:dyDescent="0.3">
      <c r="A3" t="s">
        <v>46</v>
      </c>
      <c r="B3" t="s">
        <v>45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I3" t="s">
        <v>15</v>
      </c>
      <c r="J3" t="s">
        <v>16</v>
      </c>
      <c r="L3" t="s">
        <v>36</v>
      </c>
      <c r="M3" t="s">
        <v>37</v>
      </c>
    </row>
    <row r="4" spans="1:17" x14ac:dyDescent="0.3">
      <c r="A4">
        <v>1.7</v>
      </c>
      <c r="B4">
        <v>1</v>
      </c>
      <c r="C4">
        <v>0.5</v>
      </c>
      <c r="D4">
        <v>0.5</v>
      </c>
      <c r="E4">
        <v>1E-3</v>
      </c>
      <c r="F4" t="s">
        <v>91</v>
      </c>
      <c r="G4" t="s">
        <v>91</v>
      </c>
      <c r="I4" t="s">
        <v>8</v>
      </c>
      <c r="L4">
        <v>240</v>
      </c>
      <c r="M4" t="s">
        <v>115</v>
      </c>
      <c r="N4" t="s">
        <v>140</v>
      </c>
    </row>
    <row r="5" spans="1:17" x14ac:dyDescent="0.3">
      <c r="A5">
        <v>1.7</v>
      </c>
      <c r="B5">
        <v>1</v>
      </c>
      <c r="C5">
        <v>0.55000000000000004</v>
      </c>
      <c r="D5">
        <v>0.5</v>
      </c>
      <c r="E5">
        <v>1E-3</v>
      </c>
      <c r="F5" t="s">
        <v>91</v>
      </c>
      <c r="G5" t="s">
        <v>91</v>
      </c>
      <c r="I5" t="s">
        <v>8</v>
      </c>
      <c r="L5">
        <v>240</v>
      </c>
      <c r="M5" t="s">
        <v>140</v>
      </c>
    </row>
    <row r="7" spans="1:17" x14ac:dyDescent="0.3">
      <c r="A7" t="s">
        <v>141</v>
      </c>
      <c r="B7" t="s">
        <v>146</v>
      </c>
    </row>
    <row r="8" spans="1:17" x14ac:dyDescent="0.3">
      <c r="A8" t="s">
        <v>158</v>
      </c>
      <c r="B8" t="s">
        <v>159</v>
      </c>
      <c r="C8" t="s">
        <v>10</v>
      </c>
      <c r="D8" t="s">
        <v>11</v>
      </c>
    </row>
    <row r="9" spans="1:17" x14ac:dyDescent="0.3">
      <c r="A9">
        <v>1.5</v>
      </c>
      <c r="B9" t="s">
        <v>143</v>
      </c>
      <c r="C9">
        <v>0.55000000000000004</v>
      </c>
      <c r="D9">
        <v>0.4</v>
      </c>
      <c r="L9">
        <v>240</v>
      </c>
      <c r="M9" s="3" t="s">
        <v>145</v>
      </c>
      <c r="N9" t="s">
        <v>144</v>
      </c>
      <c r="O9" t="s">
        <v>115</v>
      </c>
    </row>
    <row r="10" spans="1:17" x14ac:dyDescent="0.3">
      <c r="A10">
        <v>2</v>
      </c>
      <c r="B10" t="s">
        <v>143</v>
      </c>
      <c r="C10">
        <v>0.55000000000000004</v>
      </c>
      <c r="D10">
        <v>0.4</v>
      </c>
      <c r="L10">
        <v>240</v>
      </c>
      <c r="M10" t="s">
        <v>144</v>
      </c>
      <c r="N10" t="s">
        <v>148</v>
      </c>
    </row>
    <row r="11" spans="1:17" x14ac:dyDescent="0.3">
      <c r="A11">
        <v>2</v>
      </c>
      <c r="B11" t="s">
        <v>147</v>
      </c>
      <c r="C11">
        <v>0.55000000000000004</v>
      </c>
      <c r="D11">
        <v>0.4</v>
      </c>
      <c r="L11">
        <v>240</v>
      </c>
      <c r="M11" t="s">
        <v>149</v>
      </c>
      <c r="N11" t="s">
        <v>150</v>
      </c>
    </row>
    <row r="12" spans="1:17" x14ac:dyDescent="0.3">
      <c r="A12">
        <v>1</v>
      </c>
      <c r="B12">
        <v>1.5</v>
      </c>
      <c r="C12">
        <v>0.45</v>
      </c>
      <c r="D12">
        <v>0.4</v>
      </c>
      <c r="L12">
        <v>240</v>
      </c>
      <c r="M12" t="s">
        <v>112</v>
      </c>
      <c r="N12" t="s">
        <v>151</v>
      </c>
      <c r="O12" t="s">
        <v>152</v>
      </c>
    </row>
    <row r="13" spans="1:17" x14ac:dyDescent="0.3">
      <c r="A13">
        <v>0.5</v>
      </c>
      <c r="B13">
        <v>1.5</v>
      </c>
      <c r="C13">
        <v>0.45</v>
      </c>
      <c r="D13">
        <v>0.4</v>
      </c>
      <c r="L13">
        <v>240</v>
      </c>
      <c r="M13">
        <v>10.1</v>
      </c>
    </row>
    <row r="14" spans="1:17" x14ac:dyDescent="0.3">
      <c r="A14" s="2">
        <v>0.5</v>
      </c>
      <c r="B14" s="2">
        <v>1.5</v>
      </c>
      <c r="C14" s="2">
        <v>0.45</v>
      </c>
      <c r="D14" s="2">
        <v>0.4</v>
      </c>
      <c r="E14" s="2"/>
      <c r="F14" s="2"/>
      <c r="G14" s="2"/>
      <c r="H14" s="2"/>
      <c r="I14" s="2"/>
      <c r="J14" s="2" t="s">
        <v>153</v>
      </c>
      <c r="K14" s="2"/>
      <c r="L14" s="2">
        <v>240</v>
      </c>
      <c r="M14" s="2" t="s">
        <v>150</v>
      </c>
      <c r="N14" s="4" t="s">
        <v>155</v>
      </c>
      <c r="O14" s="2" t="s">
        <v>149</v>
      </c>
      <c r="P14" s="2" t="s">
        <v>154</v>
      </c>
      <c r="Q14" s="2" t="s">
        <v>154</v>
      </c>
    </row>
    <row r="15" spans="1:17" x14ac:dyDescent="0.3">
      <c r="A15">
        <v>0.75</v>
      </c>
      <c r="B15">
        <v>1.5</v>
      </c>
      <c r="C15">
        <v>0.45</v>
      </c>
      <c r="D15">
        <v>0.4</v>
      </c>
      <c r="L15">
        <v>240</v>
      </c>
      <c r="M15">
        <v>10</v>
      </c>
    </row>
    <row r="16" spans="1:17" x14ac:dyDescent="0.3">
      <c r="A16">
        <v>0.25</v>
      </c>
      <c r="B16">
        <v>1.5</v>
      </c>
      <c r="C16">
        <v>0.45</v>
      </c>
      <c r="D16">
        <v>0.4</v>
      </c>
      <c r="L16">
        <v>240</v>
      </c>
      <c r="M16" s="3" t="s">
        <v>155</v>
      </c>
      <c r="N16" s="3" t="s">
        <v>156</v>
      </c>
      <c r="O16" t="s">
        <v>157</v>
      </c>
    </row>
    <row r="20" spans="1:15" x14ac:dyDescent="0.3">
      <c r="A20" s="5">
        <v>46114</v>
      </c>
      <c r="F20" s="6" t="s">
        <v>181</v>
      </c>
    </row>
    <row r="22" spans="1:15" x14ac:dyDescent="0.3">
      <c r="A22" t="s">
        <v>142</v>
      </c>
      <c r="B22" t="s">
        <v>138</v>
      </c>
      <c r="C22" t="s">
        <v>10</v>
      </c>
      <c r="D22" t="s">
        <v>11</v>
      </c>
    </row>
    <row r="23" spans="1:15" x14ac:dyDescent="0.3">
      <c r="A23">
        <v>0.5</v>
      </c>
      <c r="B23">
        <v>0.1</v>
      </c>
      <c r="C23">
        <v>0.45</v>
      </c>
      <c r="D23">
        <v>0.4</v>
      </c>
      <c r="J23" t="s">
        <v>161</v>
      </c>
      <c r="L23">
        <v>240</v>
      </c>
      <c r="M23" t="s">
        <v>160</v>
      </c>
    </row>
    <row r="24" spans="1:15" x14ac:dyDescent="0.3">
      <c r="A24">
        <v>0.5</v>
      </c>
      <c r="B24">
        <v>1.5</v>
      </c>
      <c r="C24">
        <v>0.45</v>
      </c>
      <c r="D24">
        <v>0.4</v>
      </c>
      <c r="J24" t="s">
        <v>162</v>
      </c>
      <c r="L24">
        <v>240</v>
      </c>
      <c r="M24" t="s">
        <v>150</v>
      </c>
    </row>
    <row r="25" spans="1:15" x14ac:dyDescent="0.3">
      <c r="A25">
        <v>0.6</v>
      </c>
      <c r="B25">
        <v>1.5</v>
      </c>
      <c r="C25">
        <v>0.45</v>
      </c>
      <c r="D25">
        <v>0.4</v>
      </c>
      <c r="J25" t="s">
        <v>165</v>
      </c>
      <c r="L25">
        <v>240</v>
      </c>
      <c r="M25" t="s">
        <v>154</v>
      </c>
      <c r="N25" t="s">
        <v>164</v>
      </c>
      <c r="O25" t="s">
        <v>163</v>
      </c>
    </row>
    <row r="26" spans="1:15" x14ac:dyDescent="0.3">
      <c r="A26">
        <v>0.6</v>
      </c>
      <c r="B26">
        <v>1.5</v>
      </c>
      <c r="C26">
        <v>0.45</v>
      </c>
      <c r="D26">
        <v>0.4</v>
      </c>
      <c r="F26" t="s">
        <v>167</v>
      </c>
      <c r="L26">
        <v>240</v>
      </c>
      <c r="M26" t="s">
        <v>166</v>
      </c>
      <c r="N26" t="s">
        <v>154</v>
      </c>
      <c r="O26" t="s">
        <v>154</v>
      </c>
    </row>
    <row r="27" spans="1:15" x14ac:dyDescent="0.3">
      <c r="A27">
        <v>0.6</v>
      </c>
      <c r="B27">
        <v>1.5</v>
      </c>
      <c r="C27">
        <v>0.45</v>
      </c>
      <c r="D27">
        <v>0.4</v>
      </c>
      <c r="F27" t="s">
        <v>168</v>
      </c>
      <c r="L27">
        <v>240</v>
      </c>
      <c r="M27">
        <v>10</v>
      </c>
      <c r="N27">
        <v>12</v>
      </c>
      <c r="O27">
        <v>8</v>
      </c>
    </row>
    <row r="28" spans="1:15" x14ac:dyDescent="0.3">
      <c r="A28">
        <v>0.6</v>
      </c>
      <c r="B28">
        <v>1.5</v>
      </c>
      <c r="C28">
        <v>0.55000000000000004</v>
      </c>
      <c r="D28">
        <v>0.4</v>
      </c>
      <c r="F28" t="s">
        <v>169</v>
      </c>
      <c r="L28">
        <v>240</v>
      </c>
      <c r="M28" t="s">
        <v>170</v>
      </c>
      <c r="N28" t="s">
        <v>154</v>
      </c>
    </row>
    <row r="29" spans="1:15" x14ac:dyDescent="0.3">
      <c r="A29">
        <v>0.7</v>
      </c>
      <c r="B29">
        <v>1.5</v>
      </c>
      <c r="C29">
        <v>0.55000000000000004</v>
      </c>
      <c r="D29">
        <v>0.4</v>
      </c>
      <c r="F29" t="s">
        <v>169</v>
      </c>
      <c r="L29">
        <v>240</v>
      </c>
      <c r="M29">
        <v>-4.8</v>
      </c>
    </row>
    <row r="30" spans="1:15" x14ac:dyDescent="0.3">
      <c r="A30">
        <v>0.7</v>
      </c>
      <c r="B30">
        <v>1.5</v>
      </c>
      <c r="C30">
        <v>0.55000000000000004</v>
      </c>
      <c r="D30">
        <v>0.4</v>
      </c>
      <c r="F30" t="s">
        <v>171</v>
      </c>
      <c r="L30">
        <v>240</v>
      </c>
      <c r="M30" t="s">
        <v>172</v>
      </c>
      <c r="N30" t="s">
        <v>154</v>
      </c>
      <c r="O30" s="3" t="s">
        <v>173</v>
      </c>
    </row>
    <row r="31" spans="1:15" x14ac:dyDescent="0.3">
      <c r="A31">
        <v>1</v>
      </c>
      <c r="B31">
        <v>1.5</v>
      </c>
      <c r="C31">
        <v>0.55000000000000004</v>
      </c>
      <c r="D31">
        <v>0.4</v>
      </c>
      <c r="F31" t="s">
        <v>175</v>
      </c>
      <c r="K31" t="s">
        <v>174</v>
      </c>
      <c r="L31">
        <v>240</v>
      </c>
      <c r="M31" t="s">
        <v>150</v>
      </c>
      <c r="N31" t="s">
        <v>176</v>
      </c>
      <c r="O31" t="s">
        <v>176</v>
      </c>
    </row>
    <row r="32" spans="1:15" x14ac:dyDescent="0.3">
      <c r="A32">
        <v>1.5</v>
      </c>
      <c r="B32">
        <v>1.5</v>
      </c>
      <c r="C32">
        <v>0.55000000000000004</v>
      </c>
      <c r="D32">
        <v>0.4</v>
      </c>
      <c r="F32" t="s">
        <v>175</v>
      </c>
      <c r="J32" t="s">
        <v>177</v>
      </c>
      <c r="K32" t="s">
        <v>174</v>
      </c>
      <c r="L32">
        <v>240</v>
      </c>
      <c r="M32">
        <f>-7.2- 0</f>
        <v>-7.2</v>
      </c>
    </row>
    <row r="33" spans="1:16" x14ac:dyDescent="0.3">
      <c r="A33">
        <v>1.25</v>
      </c>
      <c r="B33">
        <v>1.5</v>
      </c>
      <c r="C33">
        <v>0.55000000000000004</v>
      </c>
      <c r="D33">
        <v>0.4</v>
      </c>
      <c r="F33" t="s">
        <v>175</v>
      </c>
      <c r="L33">
        <v>240</v>
      </c>
      <c r="M33" t="s">
        <v>112</v>
      </c>
      <c r="N33" t="s">
        <v>178</v>
      </c>
      <c r="O33" t="s">
        <v>149</v>
      </c>
      <c r="P33" t="s">
        <v>179</v>
      </c>
    </row>
    <row r="36" spans="1:16" x14ac:dyDescent="0.3">
      <c r="A36" t="s">
        <v>182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EA2182AC698742B76C5C59C839677F" ma:contentTypeVersion="14" ma:contentTypeDescription="Crée un document." ma:contentTypeScope="" ma:versionID="52b82a5b5f680a0fd43892743442cfa6">
  <xsd:schema xmlns:xsd="http://www.w3.org/2001/XMLSchema" xmlns:xs="http://www.w3.org/2001/XMLSchema" xmlns:p="http://schemas.microsoft.com/office/2006/metadata/properties" xmlns:ns3="3662d271-5f29-42d4-ae51-48a5aa0bd475" xmlns:ns4="dcd856cb-aa75-4c10-97a3-e4f9376df2bd" targetNamespace="http://schemas.microsoft.com/office/2006/metadata/properties" ma:root="true" ma:fieldsID="af531e7c4d39fc935ee1ccbd95bb010f" ns3:_="" ns4:_="">
    <xsd:import namespace="3662d271-5f29-42d4-ae51-48a5aa0bd475"/>
    <xsd:import namespace="dcd856cb-aa75-4c10-97a3-e4f9376df2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2d271-5f29-42d4-ae51-48a5aa0bd4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856cb-aa75-4c10-97a3-e4f9376df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62d271-5f29-42d4-ae51-48a5aa0bd475" xsi:nil="true"/>
  </documentManagement>
</p:properties>
</file>

<file path=customXml/itemProps1.xml><?xml version="1.0" encoding="utf-8"?>
<ds:datastoreItem xmlns:ds="http://schemas.openxmlformats.org/officeDocument/2006/customXml" ds:itemID="{78E2E3F4-E653-463E-8622-83DC987F0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2d271-5f29-42d4-ae51-48a5aa0bd475"/>
    <ds:schemaRef ds:uri="dcd856cb-aa75-4c10-97a3-e4f9376df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098289-1359-4F07-A3F0-C3FE47DA5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AB70D2-3C55-44DC-85D0-691B2EF16409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3662d271-5f29-42d4-ae51-48a5aa0bd475"/>
    <ds:schemaRef ds:uri="http://schemas.microsoft.com/office/infopath/2007/PartnerControls"/>
    <ds:schemaRef ds:uri="http://www.w3.org/XML/1998/namespace"/>
    <ds:schemaRef ds:uri="dcd856cb-aa75-4c10-97a3-e4f9376df2b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Roue 1</vt:lpstr>
      <vt:lpstr>Roue 2 ancien</vt:lpstr>
      <vt:lpstr>Roue 2 pas ds deux sens</vt:lpstr>
      <vt:lpstr>rotation</vt:lpstr>
      <vt:lpstr>Données retro variante</vt:lpstr>
      <vt:lpstr>Donnée retro V4</vt:lpstr>
      <vt:lpstr>Donnée retro V5</vt:lpstr>
      <vt:lpstr>Donnée retro V9</vt:lpstr>
      <vt:lpstr>Donnée retro V10V11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AOURAS Raphaël</dc:creator>
  <cp:keywords/>
  <dc:description/>
  <cp:lastModifiedBy>AOURAS Raphaël</cp:lastModifiedBy>
  <cp:revision/>
  <dcterms:created xsi:type="dcterms:W3CDTF">2026-02-20T11:53:07Z</dcterms:created>
  <dcterms:modified xsi:type="dcterms:W3CDTF">2026-04-08T18:11:46Z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0x0101006CEA2182AC698742B76C5C59C839677F</vt:lpwstr>
  </property>
</Properties>
</file>